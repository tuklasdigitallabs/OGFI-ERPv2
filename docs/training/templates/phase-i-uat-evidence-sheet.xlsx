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" sheetId="1" r:id="rId1"/>
    <sheet name="Scenario Evidence" sheetId="2" r:id="rId2"/>
    <sheet name="Defects" sheetId="3" r:id="rId3"/>
    <sheet name="Reconciliation" sheetId="4" r:id="rId4"/>
    <sheet name="Sign-off" sheetId="5" r:id="rId5"/>
    <sheet name="Lists" sheetId="6" state="hidden" r:id="rId6"/>
  </sheets>
  <calcPr fullCalcOnLoad="1"/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sz val="14"/>
      <color rgb="FFFFFFFF"/>
    </font>
    <font>
      <b/>
      <sz val="10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EFF6FF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1" xfId="0" applyAlignment="1">
      <alignment vertical="top" wrapText="1"/>
    </xf>
    <xf numFmtId="0" fontId="1" fillId="2" borderId="1" xfId="0"/>
    <xf numFmtId="0" fontId="2" fillId="2" borderId="1" xfId="0" applyAlignment="1">
      <alignment wrapText="1"/>
    </xf>
    <xf numFmtId="0" fontId="0" fillId="3" borderId="1" xfId="0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24" customWidth="1"/>
    <col min="2" max="2" width="42" customWidth="1"/>
    <col min="3" max="3" width="42" customWidth="1"/>
    <col min="4" max="4" width="36" customWidth="1"/>
  </cols>
  <sheetData>
    <row r="1">
      <c r="A1" s="1" t="inlineStr">
        <is>
          <t>OGFI ERP Phase I UAT Session</t>
        </is>
      </c>
      <c r="B1" s="1"/>
      <c r="C1" s="1"/>
      <c r="D1" s="1"/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Requirement</t>
        </is>
      </c>
      <c r="D2" s="2" t="inlineStr">
        <is>
          <t>Notes</t>
        </is>
      </c>
    </row>
    <row r="3">
      <c r="A3" s="0" t="inlineStr">
        <is>
          <t>UAT reference</t>
        </is>
      </c>
      <c r="B3" s="0"/>
      <c r="C3" s="0" t="inlineStr">
        <is>
          <t>Unique, e.g. UAT-YYYYMMDD-01</t>
        </is>
      </c>
      <c r="D3" s="0"/>
    </row>
    <row r="4">
      <c r="A4" s="0" t="inlineStr">
        <is>
          <t>Candidate commit</t>
        </is>
      </c>
      <c r="B4" s="0"/>
      <c r="C4" s="0" t="inlineStr">
        <is>
          <t>Immutable Git SHA</t>
        </is>
      </c>
      <c r="D4" s="0"/>
    </row>
    <row r="5">
      <c r="A5" s="0" t="inlineStr">
        <is>
          <t>Build evidence</t>
        </is>
      </c>
      <c r="B5" s="0"/>
      <c r="C5" s="0" t="inlineStr">
        <is>
          <t>Path to PASS evidence</t>
        </is>
      </c>
      <c r="D5" s="0"/>
    </row>
    <row r="6">
      <c r="A6" s="0" t="inlineStr">
        <is>
          <t>Application URL</t>
        </is>
      </c>
      <c r="B6" s="0" t="inlineStr">
        <is>
          <t>http://localhost:3001</t>
        </is>
      </c>
      <c r="C6" s="0" t="inlineStr">
        <is>
          <t>Use hardened lane for approval worklist</t>
        </is>
      </c>
      <c r="D6" s="0"/>
    </row>
    <row r="7">
      <c r="A7" s="0" t="inlineStr">
        <is>
          <t>Hardened UAT URL</t>
        </is>
      </c>
      <c r="B7" s="0" t="inlineStr">
        <is>
          <t>https://127.0.0.1:3443</t>
        </is>
      </c>
      <c r="C7" s="0" t="inlineStr">
        <is>
          <t>Only when separately admitted</t>
        </is>
      </c>
      <c r="D7" s="0"/>
    </row>
    <row r="8">
      <c r="A8" s="0" t="inlineStr">
        <is>
          <t>Tester</t>
        </is>
      </c>
      <c r="B8" s="0"/>
      <c r="C8" s="0" t="inlineStr">
        <is>
          <t>Named person</t>
        </is>
      </c>
      <c r="D8" s="0"/>
    </row>
    <row r="9">
      <c r="A9" s="0" t="inlineStr">
        <is>
          <t>Business owner</t>
        </is>
      </c>
      <c r="B9" s="0"/>
      <c r="C9" s="0" t="inlineStr">
        <is>
          <t>Named approver</t>
        </is>
      </c>
      <c r="D9" s="0"/>
    </row>
    <row r="10">
      <c r="A10" s="0" t="inlineStr">
        <is>
          <t>Test date</t>
        </is>
      </c>
      <c r="B10" s="0"/>
      <c r="C10" s="0" t="inlineStr">
        <is>
          <t>Asia/Manila date</t>
        </is>
      </c>
      <c r="D10" s="0"/>
    </row>
    <row r="11">
      <c r="A11" s="0" t="inlineStr">
        <is>
          <t>Browser / device</t>
        </is>
      </c>
      <c r="B11" s="0"/>
      <c r="C11" s="0" t="inlineStr">
        <is>
          <t>Include viewport or device</t>
        </is>
      </c>
      <c r="D11" s="0"/>
    </row>
    <row r="12">
      <c r="A12" s="0" t="inlineStr">
        <is>
          <t>Company</t>
        </is>
      </c>
      <c r="B12" s="0"/>
      <c r="C12" s="0" t="inlineStr">
        <is>
          <t>Selected scope</t>
        </is>
      </c>
      <c r="D12" s="0"/>
    </row>
    <row r="13">
      <c r="A13" s="0" t="inlineStr">
        <is>
          <t>Brand</t>
        </is>
      </c>
      <c r="B13" s="0"/>
      <c r="C13" s="0" t="inlineStr">
        <is>
          <t>When applicable</t>
        </is>
      </c>
      <c r="D13" s="0"/>
    </row>
    <row r="14">
      <c r="A14" s="0" t="inlineStr">
        <is>
          <t>Warehouse</t>
        </is>
      </c>
      <c r="B14" s="0"/>
      <c r="C14" s="0" t="inlineStr">
        <is>
          <t>Inventory source</t>
        </is>
      </c>
      <c r="D14" s="0"/>
    </row>
    <row r="15">
      <c r="A15" s="0" t="inlineStr">
        <is>
          <t>Branch</t>
        </is>
      </c>
      <c r="B15" s="0"/>
      <c r="C15" s="0" t="inlineStr">
        <is>
          <t>Operating branch</t>
        </is>
      </c>
      <c r="D15" s="0"/>
    </row>
    <row r="16">
      <c r="A16" s="0" t="inlineStr">
        <is>
          <t>High-risk test item</t>
        </is>
      </c>
      <c r="B16" s="0"/>
      <c r="C16" s="0" t="inlineStr">
        <is>
          <t>Use throughout the chain</t>
        </is>
      </c>
      <c r="D16" s="0"/>
    </row>
    <row r="17">
      <c r="A17" s="0" t="inlineStr">
        <is>
          <t>Passed</t>
        </is>
      </c>
      <c r="B17" s="0">
        <f>COUNTIF('Scenario Evidence'!S:S,"Pass")</f>
      </c>
      <c r="C17" s="0"/>
      <c r="D17" s="0"/>
    </row>
    <row r="18">
      <c r="A18" s="0" t="inlineStr">
        <is>
          <t>Failed</t>
        </is>
      </c>
      <c r="B18" s="0">
        <f>COUNTIF('Scenario Evidence'!S:S,"Fail")</f>
      </c>
      <c r="C18" s="0"/>
      <c r="D18" s="0"/>
    </row>
    <row r="19">
      <c r="A19" s="0" t="inlineStr">
        <is>
          <t>Blocked</t>
        </is>
      </c>
      <c r="B19" s="0">
        <f>COUNTIF('Scenario Evidence'!S:S,"Blocked")</f>
      </c>
      <c r="C19" s="0"/>
      <c r="D19" s="0"/>
    </row>
    <row r="20">
      <c r="A20" s="0" t="inlineStr">
        <is>
          <t>Not Run</t>
        </is>
      </c>
      <c r="B20" s="0">
        <f>COUNTIF('Scenario Evidence'!S:S,"Not Run")</f>
      </c>
      <c r="C20" s="0"/>
      <c r="D20" s="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3" customWidth="1"/>
    <col min="2" max="2" width="30" customWidth="1"/>
    <col min="3" max="3" width="34" customWidth="1"/>
    <col min="4" max="4" width="20" customWidth="1"/>
    <col min="5" max="5" width="20" customWidth="1"/>
    <col min="6" max="6" width="22" customWidth="1"/>
    <col min="7" max="7" width="20" customWidth="1"/>
    <col min="8" max="8" width="24" customWidth="1"/>
    <col min="9" max="9" width="24" customWidth="1"/>
    <col min="10" max="10" width="18" customWidth="1"/>
    <col min="11" max="11" width="14" customWidth="1"/>
    <col min="12" max="12" width="34" customWidth="1"/>
    <col min="13" max="13" width="18" customWidth="1"/>
    <col min="14" max="14" width="14" customWidth="1"/>
    <col min="15" max="15" width="28" customWidth="1"/>
    <col min="16" max="16" width="28" customWidth="1"/>
    <col min="17" max="17" width="34" customWidth="1"/>
    <col min="18" max="18" width="34" customWidth="1"/>
    <col min="19" max="19" width="16" customWidth="1"/>
    <col min="20" max="20" width="18" customWidth="1"/>
    <col min="21" max="21" width="38" customWidth="1"/>
  </cols>
  <sheetData>
    <row r="1">
      <c r="A1" s="2" t="inlineStr">
        <is>
          <t>Scenario ID</t>
        </is>
      </c>
      <c r="B1" s="2" t="inlineStr">
        <is>
          <t>Scenario</t>
        </is>
      </c>
      <c r="C1" s="2" t="inlineStr">
        <is>
          <t>Step / control</t>
        </is>
      </c>
      <c r="D1" s="2" t="inlineStr">
        <is>
          <t>Actor</t>
        </is>
      </c>
      <c r="E1" s="2" t="inlineStr">
        <is>
          <t>Role</t>
        </is>
      </c>
      <c r="F1" s="2" t="inlineStr">
        <is>
          <t>Company</t>
        </is>
      </c>
      <c r="G1" s="2" t="inlineStr">
        <is>
          <t>Brand</t>
        </is>
      </c>
      <c r="H1" s="2" t="inlineStr">
        <is>
          <t>Location</t>
        </is>
      </c>
      <c r="I1" s="2" t="inlineStr">
        <is>
          <t>Source record</t>
        </is>
      </c>
      <c r="J1" s="2" t="inlineStr">
        <is>
          <t>Before status</t>
        </is>
      </c>
      <c r="K1" s="2" t="inlineStr">
        <is>
          <t>Before stock</t>
        </is>
      </c>
      <c r="L1" s="2" t="inlineStr">
        <is>
          <t>Action performed</t>
        </is>
      </c>
      <c r="M1" s="2" t="inlineStr">
        <is>
          <t>After status</t>
        </is>
      </c>
      <c r="N1" s="2" t="inlineStr">
        <is>
          <t>After stock</t>
        </is>
      </c>
      <c r="O1" s="2" t="inlineStr">
        <is>
          <t>Audit / activity reference</t>
        </is>
      </c>
      <c r="P1" s="2" t="inlineStr">
        <is>
          <t>Evidence link</t>
        </is>
      </c>
      <c r="Q1" s="2" t="inlineStr">
        <is>
          <t>Expected result</t>
        </is>
      </c>
      <c r="R1" s="2" t="inlineStr">
        <is>
          <t>Actual result</t>
        </is>
      </c>
      <c r="S1" s="3" t="inlineStr">
        <is>
          <t>Result</t>
        </is>
      </c>
      <c r="T1" s="2" t="inlineStr">
        <is>
          <t>Defect ID</t>
        </is>
      </c>
      <c r="U1" s="2" t="inlineStr">
        <is>
          <t>Tester notes</t>
        </is>
      </c>
    </row>
    <row r="2">
      <c r="A2" s="0" t="inlineStr">
        <is>
          <t>UAT-01</t>
        </is>
      </c>
      <c r="B2" s="0" t="inlineStr">
        <is>
          <t>Authentication and navigation</t>
        </is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3" t="inlineStr">
        <is>
          <t>Not Started</t>
        </is>
      </c>
      <c r="T2" s="0"/>
      <c r="U2" s="0"/>
    </row>
    <row r="3">
      <c r="A3" s="0" t="inlineStr">
        <is>
          <t>UAT-02</t>
        </is>
      </c>
      <c r="B3" s="0" t="inlineStr">
        <is>
          <t>Organization and access scope</t>
        </is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3" t="inlineStr">
        <is>
          <t>Not Started</t>
        </is>
      </c>
      <c r="T3" s="0"/>
      <c r="U3" s="0"/>
    </row>
    <row r="4">
      <c r="A4" s="0" t="inlineStr">
        <is>
          <t>UAT-03</t>
        </is>
      </c>
      <c r="B4" s="0" t="inlineStr">
        <is>
          <t>Suppliers, Items, and UOMs</t>
        </is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3" t="inlineStr">
        <is>
          <t>Not Started</t>
        </is>
      </c>
      <c r="T4" s="0"/>
      <c r="U4" s="0"/>
    </row>
    <row r="5">
      <c r="A5" s="0" t="inlineStr">
        <is>
          <t>UAT-04</t>
        </is>
      </c>
      <c r="B5" s="0" t="inlineStr">
        <is>
          <t>Opening Inventory configuration and cohort</t>
        </is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3" t="inlineStr">
        <is>
          <t>Not Started</t>
        </is>
      </c>
      <c r="T5" s="0"/>
      <c r="U5" s="0"/>
    </row>
    <row r="6">
      <c r="A6" s="0" t="inlineStr">
        <is>
          <t>UAT-05</t>
        </is>
      </c>
      <c r="B6" s="0" t="inlineStr">
        <is>
          <t>Purchase Request and approval</t>
        </is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3" t="inlineStr">
        <is>
          <t>Not Started</t>
        </is>
      </c>
      <c r="T6" s="0"/>
      <c r="U6" s="0"/>
    </row>
    <row r="7">
      <c r="A7" s="0" t="inlineStr">
        <is>
          <t>UAT-06</t>
        </is>
      </c>
      <c r="B7" s="0" t="inlineStr">
        <is>
          <t>Supplier quotations and comparison</t>
        </is>
      </c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3" t="inlineStr">
        <is>
          <t>Not Started</t>
        </is>
      </c>
      <c r="T7" s="0"/>
      <c r="U7" s="0"/>
    </row>
    <row r="8">
      <c r="A8" s="0" t="inlineStr">
        <is>
          <t>UAT-07</t>
        </is>
      </c>
      <c r="B8" s="0" t="inlineStr">
        <is>
          <t>Purchase Order</t>
        </is>
      </c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3" t="inlineStr">
        <is>
          <t>Not Started</t>
        </is>
      </c>
      <c r="T8" s="0"/>
      <c r="U8" s="0"/>
    </row>
    <row r="9">
      <c r="A9" s="0" t="inlineStr">
        <is>
          <t>UAT-08</t>
        </is>
      </c>
      <c r="B9" s="0" t="inlineStr">
        <is>
          <t>Purchase Order receiving</t>
        </is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3" t="inlineStr">
        <is>
          <t>Not Started</t>
        </is>
      </c>
      <c r="T9" s="0"/>
      <c r="U9" s="0"/>
    </row>
    <row r="10">
      <c r="A10" s="0" t="inlineStr">
        <is>
          <t>UAT-09</t>
        </is>
      </c>
      <c r="B10" s="0" t="inlineStr">
        <is>
          <t>Stock Balance and Movement Ledger</t>
        </is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3" t="inlineStr">
        <is>
          <t>Not Started</t>
        </is>
      </c>
      <c r="T10" s="0"/>
      <c r="U10" s="0"/>
    </row>
    <row r="11">
      <c r="A11" s="0" t="inlineStr">
        <is>
          <t>UAT-10</t>
        </is>
      </c>
      <c r="B11" s="0" t="inlineStr">
        <is>
          <t>Warehouse-to-branch transfer</t>
        </is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3" t="inlineStr">
        <is>
          <t>Not Started</t>
        </is>
      </c>
      <c r="T11" s="0"/>
      <c r="U11" s="0"/>
    </row>
    <row r="12">
      <c r="A12" s="0" t="inlineStr">
        <is>
          <t>UAT-11</t>
        </is>
      </c>
      <c r="B12" s="0" t="inlineStr">
        <is>
          <t>Wastage</t>
        </is>
      </c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3" t="inlineStr">
        <is>
          <t>Not Started</t>
        </is>
      </c>
      <c r="T12" s="0"/>
      <c r="U12" s="0"/>
    </row>
    <row r="13">
      <c r="A13" s="0" t="inlineStr">
        <is>
          <t>UAT-12</t>
        </is>
      </c>
      <c r="B13" s="0" t="inlineStr">
        <is>
          <t>Stock count and variance review</t>
        </is>
      </c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3" t="inlineStr">
        <is>
          <t>Not Started</t>
        </is>
      </c>
      <c r="T13" s="0"/>
      <c r="U13" s="0"/>
    </row>
    <row r="14">
      <c r="A14" s="0" t="inlineStr">
        <is>
          <t>UAT-13</t>
        </is>
      </c>
      <c r="B14" s="0" t="inlineStr">
        <is>
          <t>Stock adjustment and reversal</t>
        </is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3" t="inlineStr">
        <is>
          <t>Not Started</t>
        </is>
      </c>
      <c r="T14" s="0"/>
      <c r="U14" s="0"/>
    </row>
    <row r="15">
      <c r="A15" s="0" t="inlineStr">
        <is>
          <t>UAT-14</t>
        </is>
      </c>
      <c r="B15" s="0" t="inlineStr">
        <is>
          <t>Servings and consumption</t>
        </is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3" t="inlineStr">
        <is>
          <t>Not Started</t>
        </is>
      </c>
      <c r="T15" s="0"/>
      <c r="U15" s="0"/>
    </row>
    <row r="16">
      <c r="A16" s="0" t="inlineStr">
        <is>
          <t>UAT-15</t>
        </is>
      </c>
      <c r="B16" s="0" t="inlineStr">
        <is>
          <t>Final theft-control reconciliation</t>
        </is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3" t="inlineStr">
        <is>
          <t>Not Started</t>
        </is>
      </c>
      <c r="T16" s="0"/>
      <c r="U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3" t="inlineStr">
        <is>
          <t>Not Started</t>
        </is>
      </c>
      <c r="T17" s="0"/>
      <c r="U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3" t="inlineStr">
        <is>
          <t>Not Started</t>
        </is>
      </c>
      <c r="T18" s="0"/>
      <c r="U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3" t="inlineStr">
        <is>
          <t>Not Started</t>
        </is>
      </c>
      <c r="T19" s="0"/>
      <c r="U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3" t="inlineStr">
        <is>
          <t>Not Started</t>
        </is>
      </c>
      <c r="T20" s="0"/>
      <c r="U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3" t="inlineStr">
        <is>
          <t>Not Started</t>
        </is>
      </c>
      <c r="T21" s="0"/>
      <c r="U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3" t="inlineStr">
        <is>
          <t>Not Started</t>
        </is>
      </c>
      <c r="T22" s="0"/>
      <c r="U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3" t="inlineStr">
        <is>
          <t>Not Started</t>
        </is>
      </c>
      <c r="T23" s="0"/>
      <c r="U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3" t="inlineStr">
        <is>
          <t>Not Started</t>
        </is>
      </c>
      <c r="T24" s="0"/>
      <c r="U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3" t="inlineStr">
        <is>
          <t>Not Started</t>
        </is>
      </c>
      <c r="T25" s="0"/>
      <c r="U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3" t="inlineStr">
        <is>
          <t>Not Started</t>
        </is>
      </c>
      <c r="T26" s="0"/>
      <c r="U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3" t="inlineStr">
        <is>
          <t>Not Started</t>
        </is>
      </c>
      <c r="T27" s="0"/>
      <c r="U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3" t="inlineStr">
        <is>
          <t>Not Started</t>
        </is>
      </c>
      <c r="T28" s="0"/>
      <c r="U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3" t="inlineStr">
        <is>
          <t>Not Started</t>
        </is>
      </c>
      <c r="T29" s="0"/>
      <c r="U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3" t="inlineStr">
        <is>
          <t>Not Started</t>
        </is>
      </c>
      <c r="T30" s="0"/>
      <c r="U30" s="0"/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3" t="inlineStr">
        <is>
          <t>Not Started</t>
        </is>
      </c>
      <c r="T31" s="0"/>
      <c r="U31" s="0"/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3" t="inlineStr">
        <is>
          <t>Not Started</t>
        </is>
      </c>
      <c r="T32" s="0"/>
      <c r="U32" s="0"/>
    </row>
    <row r="33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3" t="inlineStr">
        <is>
          <t>Not Started</t>
        </is>
      </c>
      <c r="T33" s="0"/>
      <c r="U33" s="0"/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3" t="inlineStr">
        <is>
          <t>Not Started</t>
        </is>
      </c>
      <c r="T34" s="0"/>
      <c r="U34" s="0"/>
    </row>
    <row r="35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3" t="inlineStr">
        <is>
          <t>Not Started</t>
        </is>
      </c>
      <c r="T35" s="0"/>
      <c r="U35" s="0"/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3" t="inlineStr">
        <is>
          <t>Not Started</t>
        </is>
      </c>
      <c r="T36" s="0"/>
      <c r="U36" s="0"/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3" t="inlineStr">
        <is>
          <t>Not Started</t>
        </is>
      </c>
      <c r="T37" s="0"/>
      <c r="U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3" t="inlineStr">
        <is>
          <t>Not Started</t>
        </is>
      </c>
      <c r="T38" s="0"/>
      <c r="U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3" t="inlineStr">
        <is>
          <t>Not Started</t>
        </is>
      </c>
      <c r="T39" s="0"/>
      <c r="U39" s="0"/>
    </row>
    <row r="40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3" t="inlineStr">
        <is>
          <t>Not Started</t>
        </is>
      </c>
      <c r="T40" s="0"/>
      <c r="U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3" t="inlineStr">
        <is>
          <t>Not Started</t>
        </is>
      </c>
      <c r="T41" s="0"/>
      <c r="U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3" t="inlineStr">
        <is>
          <t>Not Started</t>
        </is>
      </c>
      <c r="T42" s="0"/>
      <c r="U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3" t="inlineStr">
        <is>
          <t>Not Started</t>
        </is>
      </c>
      <c r="T43" s="0"/>
      <c r="U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3" t="inlineStr">
        <is>
          <t>Not Started</t>
        </is>
      </c>
      <c r="T44" s="0"/>
      <c r="U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3" t="inlineStr">
        <is>
          <t>Not Started</t>
        </is>
      </c>
      <c r="T45" s="0"/>
      <c r="U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3" t="inlineStr">
        <is>
          <t>Not Started</t>
        </is>
      </c>
      <c r="T46" s="0"/>
      <c r="U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3" t="inlineStr">
        <is>
          <t>Not Started</t>
        </is>
      </c>
      <c r="T47" s="0"/>
      <c r="U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3" t="inlineStr">
        <is>
          <t>Not Started</t>
        </is>
      </c>
      <c r="T48" s="0"/>
      <c r="U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3" t="inlineStr">
        <is>
          <t>Not Started</t>
        </is>
      </c>
      <c r="T49" s="0"/>
      <c r="U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3" t="inlineStr">
        <is>
          <t>Not Started</t>
        </is>
      </c>
      <c r="T50" s="0"/>
      <c r="U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3" t="inlineStr">
        <is>
          <t>Not Started</t>
        </is>
      </c>
      <c r="T51" s="0"/>
      <c r="U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3" t="inlineStr">
        <is>
          <t>Not Started</t>
        </is>
      </c>
      <c r="T52" s="0"/>
      <c r="U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3" t="inlineStr">
        <is>
          <t>Not Started</t>
        </is>
      </c>
      <c r="T53" s="0"/>
      <c r="U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3" t="inlineStr">
        <is>
          <t>Not Started</t>
        </is>
      </c>
      <c r="T54" s="0"/>
      <c r="U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3" t="inlineStr">
        <is>
          <t>Not Started</t>
        </is>
      </c>
      <c r="T55" s="0"/>
      <c r="U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3" t="inlineStr">
        <is>
          <t>Not Started</t>
        </is>
      </c>
      <c r="T56" s="0"/>
      <c r="U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3" t="inlineStr">
        <is>
          <t>Not Started</t>
        </is>
      </c>
      <c r="T57" s="0"/>
      <c r="U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3" t="inlineStr">
        <is>
          <t>Not Started</t>
        </is>
      </c>
      <c r="T58" s="0"/>
      <c r="U58" s="0"/>
    </row>
    <row r="59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3" t="inlineStr">
        <is>
          <t>Not Started</t>
        </is>
      </c>
      <c r="T59" s="0"/>
      <c r="U59" s="0"/>
    </row>
    <row r="60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3" t="inlineStr">
        <is>
          <t>Not Started</t>
        </is>
      </c>
      <c r="T60" s="0"/>
      <c r="U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3" t="inlineStr">
        <is>
          <t>Not Started</t>
        </is>
      </c>
      <c r="T61" s="0"/>
      <c r="U61" s="0"/>
    </row>
    <row r="62">
      <c r="A62" s="0"/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3" t="inlineStr">
        <is>
          <t>Not Started</t>
        </is>
      </c>
      <c r="T62" s="0"/>
      <c r="U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3" t="inlineStr">
        <is>
          <t>Not Started</t>
        </is>
      </c>
      <c r="T63" s="0"/>
      <c r="U63" s="0"/>
    </row>
    <row r="64">
      <c r="A64" s="0"/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3" t="inlineStr">
        <is>
          <t>Not Started</t>
        </is>
      </c>
      <c r="T64" s="0"/>
      <c r="U64" s="0"/>
    </row>
    <row r="65">
      <c r="A65" s="0"/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3" t="inlineStr">
        <is>
          <t>Not Started</t>
        </is>
      </c>
      <c r="T65" s="0"/>
      <c r="U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3" t="inlineStr">
        <is>
          <t>Not Started</t>
        </is>
      </c>
      <c r="T66" s="0"/>
      <c r="U66" s="0"/>
    </row>
    <row r="67">
      <c r="A67" s="0"/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3" t="inlineStr">
        <is>
          <t>Not Started</t>
        </is>
      </c>
      <c r="T67" s="0"/>
      <c r="U67" s="0"/>
    </row>
    <row r="68">
      <c r="A68" s="0"/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3" t="inlineStr">
        <is>
          <t>Not Started</t>
        </is>
      </c>
      <c r="T68" s="0"/>
      <c r="U68" s="0"/>
    </row>
    <row r="69">
      <c r="A69" s="0"/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3" t="inlineStr">
        <is>
          <t>Not Started</t>
        </is>
      </c>
      <c r="T69" s="0"/>
      <c r="U69" s="0"/>
    </row>
    <row r="70">
      <c r="A70" s="0"/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3" t="inlineStr">
        <is>
          <t>Not Started</t>
        </is>
      </c>
      <c r="T70" s="0"/>
      <c r="U70" s="0"/>
    </row>
    <row r="71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3" t="inlineStr">
        <is>
          <t>Not Started</t>
        </is>
      </c>
      <c r="T71" s="0"/>
      <c r="U71" s="0"/>
    </row>
    <row r="72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3" t="inlineStr">
        <is>
          <t>Not Started</t>
        </is>
      </c>
      <c r="T72" s="0"/>
      <c r="U72" s="0"/>
    </row>
    <row r="73">
      <c r="A73" s="0"/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3" t="inlineStr">
        <is>
          <t>Not Started</t>
        </is>
      </c>
      <c r="T73" s="0"/>
      <c r="U73" s="0"/>
    </row>
    <row r="74">
      <c r="A74" s="0"/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3" t="inlineStr">
        <is>
          <t>Not Started</t>
        </is>
      </c>
      <c r="T74" s="0"/>
      <c r="U74" s="0"/>
    </row>
    <row r="75">
      <c r="A75" s="0"/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3" t="inlineStr">
        <is>
          <t>Not Started</t>
        </is>
      </c>
      <c r="T75" s="0"/>
      <c r="U75" s="0"/>
    </row>
    <row r="76">
      <c r="A76" s="0"/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3" t="inlineStr">
        <is>
          <t>Not Started</t>
        </is>
      </c>
      <c r="T76" s="0"/>
      <c r="U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3" t="inlineStr">
        <is>
          <t>Not Started</t>
        </is>
      </c>
      <c r="T77" s="0"/>
      <c r="U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3" t="inlineStr">
        <is>
          <t>Not Started</t>
        </is>
      </c>
      <c r="T78" s="0"/>
      <c r="U78" s="0"/>
    </row>
    <row r="79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3" t="inlineStr">
        <is>
          <t>Not Started</t>
        </is>
      </c>
      <c r="T79" s="0"/>
      <c r="U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3" t="inlineStr">
        <is>
          <t>Not Started</t>
        </is>
      </c>
      <c r="T80" s="0"/>
      <c r="U80" s="0"/>
    </row>
    <row r="81">
      <c r="A81" s="0"/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3" t="inlineStr">
        <is>
          <t>Not Started</t>
        </is>
      </c>
      <c r="T81" s="0"/>
      <c r="U81" s="0"/>
    </row>
    <row r="82">
      <c r="A82" s="0"/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3" t="inlineStr">
        <is>
          <t>Not Started</t>
        </is>
      </c>
      <c r="T82" s="0"/>
      <c r="U82" s="0"/>
    </row>
    <row r="83">
      <c r="A83" s="0"/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3" t="inlineStr">
        <is>
          <t>Not Started</t>
        </is>
      </c>
      <c r="T83" s="0"/>
      <c r="U83" s="0"/>
    </row>
    <row r="84">
      <c r="A84" s="0"/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3" t="inlineStr">
        <is>
          <t>Not Started</t>
        </is>
      </c>
      <c r="T84" s="0"/>
      <c r="U84" s="0"/>
    </row>
    <row r="85">
      <c r="A85" s="0"/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3" t="inlineStr">
        <is>
          <t>Not Started</t>
        </is>
      </c>
      <c r="T85" s="0"/>
      <c r="U85" s="0"/>
    </row>
    <row r="86">
      <c r="A86" s="0"/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3" t="inlineStr">
        <is>
          <t>Not Started</t>
        </is>
      </c>
      <c r="T86" s="0"/>
      <c r="U86" s="0"/>
    </row>
    <row r="87">
      <c r="A87" s="0"/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3" t="inlineStr">
        <is>
          <t>Not Started</t>
        </is>
      </c>
      <c r="T87" s="0"/>
      <c r="U87" s="0"/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3" t="inlineStr">
        <is>
          <t>Not Started</t>
        </is>
      </c>
      <c r="T88" s="0"/>
      <c r="U88" s="0"/>
    </row>
    <row r="89">
      <c r="A89" s="0"/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3" t="inlineStr">
        <is>
          <t>Not Started</t>
        </is>
      </c>
      <c r="T89" s="0"/>
      <c r="U89" s="0"/>
    </row>
    <row r="90">
      <c r="A90" s="0"/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3" t="inlineStr">
        <is>
          <t>Not Started</t>
        </is>
      </c>
      <c r="T90" s="0"/>
      <c r="U90" s="0"/>
    </row>
    <row r="91">
      <c r="A91" s="0"/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3" t="inlineStr">
        <is>
          <t>Not Started</t>
        </is>
      </c>
      <c r="T91" s="0"/>
      <c r="U91" s="0"/>
    </row>
    <row r="92">
      <c r="A92" s="0"/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3" t="inlineStr">
        <is>
          <t>Not Started</t>
        </is>
      </c>
      <c r="T92" s="0"/>
      <c r="U92" s="0"/>
    </row>
    <row r="93">
      <c r="A93" s="0"/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3" t="inlineStr">
        <is>
          <t>Not Started</t>
        </is>
      </c>
      <c r="T93" s="0"/>
      <c r="U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3" t="inlineStr">
        <is>
          <t>Not Started</t>
        </is>
      </c>
      <c r="T94" s="0"/>
      <c r="U94" s="0"/>
    </row>
    <row r="95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3" t="inlineStr">
        <is>
          <t>Not Started</t>
        </is>
      </c>
      <c r="T95" s="0"/>
      <c r="U95" s="0"/>
    </row>
    <row r="96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3" t="inlineStr">
        <is>
          <t>Not Started</t>
        </is>
      </c>
      <c r="T96" s="0"/>
      <c r="U96" s="0"/>
    </row>
    <row r="97">
      <c r="A97" s="0"/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3" t="inlineStr">
        <is>
          <t>Not Started</t>
        </is>
      </c>
      <c r="T97" s="0"/>
      <c r="U97" s="0"/>
    </row>
    <row r="98">
      <c r="A98" s="0"/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3" t="inlineStr">
        <is>
          <t>Not Started</t>
        </is>
      </c>
      <c r="T98" s="0"/>
      <c r="U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3" t="inlineStr">
        <is>
          <t>Not Started</t>
        </is>
      </c>
      <c r="T99" s="0"/>
      <c r="U99" s="0"/>
    </row>
    <row r="100">
      <c r="A100" s="0"/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3" t="inlineStr">
        <is>
          <t>Not Started</t>
        </is>
      </c>
      <c r="T100" s="0"/>
      <c r="U100" s="0"/>
    </row>
    <row r="101">
      <c r="A101" s="0"/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3" t="inlineStr">
        <is>
          <t>Not Started</t>
        </is>
      </c>
      <c r="T101" s="0"/>
      <c r="U101" s="0"/>
    </row>
  </sheetData>
  <autoFilter ref="A1:U101"/>
  <dataValidations count="1">
    <dataValidation type="list" allowBlank="1" sqref="S2:S101">
      <formula1>Lists!$A$2:$A$6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6" customWidth="1"/>
    <col min="2" max="2" width="18" customWidth="1"/>
    <col min="3" max="3" width="14" customWidth="1"/>
    <col min="4" max="4" width="34" customWidth="1"/>
    <col min="5" max="5" width="14" customWidth="1"/>
    <col min="6" max="6" width="18" customWidth="1"/>
    <col min="7" max="7" width="20" customWidth="1"/>
    <col min="8" max="8" width="22" customWidth="1"/>
    <col min="9" max="9" width="20" customWidth="1"/>
    <col min="10" max="10" width="22" customWidth="1"/>
    <col min="11" max="11" width="22" customWidth="1"/>
    <col min="12" max="12" width="22" customWidth="1"/>
    <col min="13" max="13" width="34" customWidth="1"/>
    <col min="14" max="14" width="34" customWidth="1"/>
    <col min="15" max="15" width="42" customWidth="1"/>
    <col min="16" max="16" width="28" customWidth="1"/>
    <col min="17" max="17" width="34" customWidth="1"/>
    <col min="18" max="18" width="42" customWidth="1"/>
    <col min="19" max="19" width="20" customWidth="1"/>
    <col min="20" max="20" width="20" customWidth="1"/>
    <col min="21" max="21" width="18" customWidth="1"/>
    <col min="22" max="22" width="16" customWidth="1"/>
    <col min="23" max="23" width="34" customWidth="1"/>
  </cols>
  <sheetData>
    <row r="1">
      <c r="A1" s="2" t="inlineStr">
        <is>
          <t>Defect ID</t>
        </is>
      </c>
      <c r="B1" s="2" t="inlineStr">
        <is>
          <t>UAT reference</t>
        </is>
      </c>
      <c r="C1" s="2" t="inlineStr">
        <is>
          <t>Scenario ID</t>
        </is>
      </c>
      <c r="D1" s="2" t="inlineStr">
        <is>
          <t>Title</t>
        </is>
      </c>
      <c r="E1" s="3" t="inlineStr">
        <is>
          <t>Severity</t>
        </is>
      </c>
      <c r="F1" s="3" t="inlineStr">
        <is>
          <t>Status</t>
        </is>
      </c>
      <c r="G1" s="2" t="inlineStr">
        <is>
          <t>Actor</t>
        </is>
      </c>
      <c r="H1" s="2" t="inlineStr">
        <is>
          <t>Company</t>
        </is>
      </c>
      <c r="I1" s="2" t="inlineStr">
        <is>
          <t>Brand</t>
        </is>
      </c>
      <c r="J1" s="2" t="inlineStr">
        <is>
          <t>Location</t>
        </is>
      </c>
      <c r="K1" s="2" t="inlineStr">
        <is>
          <t>Source record</t>
        </is>
      </c>
      <c r="L1" s="2" t="inlineStr">
        <is>
          <t>Observed at</t>
        </is>
      </c>
      <c r="M1" s="2" t="inlineStr">
        <is>
          <t>Expected behavior</t>
        </is>
      </c>
      <c r="N1" s="2" t="inlineStr">
        <is>
          <t>Actual behavior</t>
        </is>
      </c>
      <c r="O1" s="2" t="inlineStr">
        <is>
          <t>Reproduction steps</t>
        </is>
      </c>
      <c r="P1" s="2" t="inlineStr">
        <is>
          <t>Screenshot / evidence</t>
        </is>
      </c>
      <c r="Q1" s="2" t="inlineStr">
        <is>
          <t>Network response</t>
        </is>
      </c>
      <c r="R1" s="2" t="inlineStr">
        <is>
          <t>Relevant log lines</t>
        </is>
      </c>
      <c r="S1" s="2" t="inlineStr">
        <is>
          <t>Owner</t>
        </is>
      </c>
      <c r="T1" s="2" t="inlineStr">
        <is>
          <t>Resolution target</t>
        </is>
      </c>
      <c r="U1" s="3" t="inlineStr">
        <is>
          <t>Retest result</t>
        </is>
      </c>
      <c r="V1" s="2" t="inlineStr">
        <is>
          <t>Retest date</t>
        </is>
      </c>
      <c r="W1" s="2" t="inlineStr">
        <is>
          <t>Notes</t>
        </is>
      </c>
    </row>
    <row r="2">
      <c r="A2" s="0"/>
      <c r="B2" s="0"/>
      <c r="C2" s="0"/>
      <c r="D2" s="0"/>
      <c r="E2" s="3" t="inlineStr">
        <is>
          <t>Medium</t>
        </is>
      </c>
      <c r="F2" s="3" t="inlineStr">
        <is>
          <t>Open</t>
        </is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3" t="inlineStr">
        <is>
          <t>Not Started</t>
        </is>
      </c>
      <c r="V2" s="0"/>
      <c r="W2" s="0"/>
    </row>
    <row r="3">
      <c r="A3" s="0"/>
      <c r="B3" s="0"/>
      <c r="C3" s="0"/>
      <c r="D3" s="0"/>
      <c r="E3" s="3" t="inlineStr">
        <is>
          <t>Medium</t>
        </is>
      </c>
      <c r="F3" s="3" t="inlineStr">
        <is>
          <t>Open</t>
        </is>
      </c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3" t="inlineStr">
        <is>
          <t>Not Started</t>
        </is>
      </c>
      <c r="V3" s="0"/>
      <c r="W3" s="0"/>
    </row>
    <row r="4">
      <c r="A4" s="0"/>
      <c r="B4" s="0"/>
      <c r="C4" s="0"/>
      <c r="D4" s="0"/>
      <c r="E4" s="3" t="inlineStr">
        <is>
          <t>Medium</t>
        </is>
      </c>
      <c r="F4" s="3" t="inlineStr">
        <is>
          <t>Open</t>
        </is>
      </c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3" t="inlineStr">
        <is>
          <t>Not Started</t>
        </is>
      </c>
      <c r="V4" s="0"/>
      <c r="W4" s="0"/>
    </row>
    <row r="5">
      <c r="A5" s="0"/>
      <c r="B5" s="0"/>
      <c r="C5" s="0"/>
      <c r="D5" s="0"/>
      <c r="E5" s="3" t="inlineStr">
        <is>
          <t>Medium</t>
        </is>
      </c>
      <c r="F5" s="3" t="inlineStr">
        <is>
          <t>Open</t>
        </is>
      </c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3" t="inlineStr">
        <is>
          <t>Not Started</t>
        </is>
      </c>
      <c r="V5" s="0"/>
      <c r="W5" s="0"/>
    </row>
    <row r="6">
      <c r="A6" s="0"/>
      <c r="B6" s="0"/>
      <c r="C6" s="0"/>
      <c r="D6" s="0"/>
      <c r="E6" s="3" t="inlineStr">
        <is>
          <t>Medium</t>
        </is>
      </c>
      <c r="F6" s="3" t="inlineStr">
        <is>
          <t>Open</t>
        </is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3" t="inlineStr">
        <is>
          <t>Not Started</t>
        </is>
      </c>
      <c r="V6" s="0"/>
      <c r="W6" s="0"/>
    </row>
    <row r="7">
      <c r="A7" s="0"/>
      <c r="B7" s="0"/>
      <c r="C7" s="0"/>
      <c r="D7" s="0"/>
      <c r="E7" s="3" t="inlineStr">
        <is>
          <t>Medium</t>
        </is>
      </c>
      <c r="F7" s="3" t="inlineStr">
        <is>
          <t>Open</t>
        </is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3" t="inlineStr">
        <is>
          <t>Not Started</t>
        </is>
      </c>
      <c r="V7" s="0"/>
      <c r="W7" s="0"/>
    </row>
    <row r="8">
      <c r="A8" s="0"/>
      <c r="B8" s="0"/>
      <c r="C8" s="0"/>
      <c r="D8" s="0"/>
      <c r="E8" s="3" t="inlineStr">
        <is>
          <t>Medium</t>
        </is>
      </c>
      <c r="F8" s="3" t="inlineStr">
        <is>
          <t>Open</t>
        </is>
      </c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3" t="inlineStr">
        <is>
          <t>Not Started</t>
        </is>
      </c>
      <c r="V8" s="0"/>
      <c r="W8" s="0"/>
    </row>
    <row r="9">
      <c r="A9" s="0"/>
      <c r="B9" s="0"/>
      <c r="C9" s="0"/>
      <c r="D9" s="0"/>
      <c r="E9" s="3" t="inlineStr">
        <is>
          <t>Medium</t>
        </is>
      </c>
      <c r="F9" s="3" t="inlineStr">
        <is>
          <t>Open</t>
        </is>
      </c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3" t="inlineStr">
        <is>
          <t>Not Started</t>
        </is>
      </c>
      <c r="V9" s="0"/>
      <c r="W9" s="0"/>
    </row>
    <row r="10">
      <c r="A10" s="0"/>
      <c r="B10" s="0"/>
      <c r="C10" s="0"/>
      <c r="D10" s="0"/>
      <c r="E10" s="3" t="inlineStr">
        <is>
          <t>Medium</t>
        </is>
      </c>
      <c r="F10" s="3" t="inlineStr">
        <is>
          <t>Open</t>
        </is>
      </c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3" t="inlineStr">
        <is>
          <t>Not Started</t>
        </is>
      </c>
      <c r="V10" s="0"/>
      <c r="W10" s="0"/>
    </row>
    <row r="11">
      <c r="A11" s="0"/>
      <c r="B11" s="0"/>
      <c r="C11" s="0"/>
      <c r="D11" s="0"/>
      <c r="E11" s="3" t="inlineStr">
        <is>
          <t>Medium</t>
        </is>
      </c>
      <c r="F11" s="3" t="inlineStr">
        <is>
          <t>Open</t>
        </is>
      </c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3" t="inlineStr">
        <is>
          <t>Not Started</t>
        </is>
      </c>
      <c r="V11" s="0"/>
      <c r="W11" s="0"/>
    </row>
    <row r="12">
      <c r="A12" s="0"/>
      <c r="B12" s="0"/>
      <c r="C12" s="0"/>
      <c r="D12" s="0"/>
      <c r="E12" s="3" t="inlineStr">
        <is>
          <t>Medium</t>
        </is>
      </c>
      <c r="F12" s="3" t="inlineStr">
        <is>
          <t>Open</t>
        </is>
      </c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3" t="inlineStr">
        <is>
          <t>Not Started</t>
        </is>
      </c>
      <c r="V12" s="0"/>
      <c r="W12" s="0"/>
    </row>
    <row r="13">
      <c r="A13" s="0"/>
      <c r="B13" s="0"/>
      <c r="C13" s="0"/>
      <c r="D13" s="0"/>
      <c r="E13" s="3" t="inlineStr">
        <is>
          <t>Medium</t>
        </is>
      </c>
      <c r="F13" s="3" t="inlineStr">
        <is>
          <t>Open</t>
        </is>
      </c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3" t="inlineStr">
        <is>
          <t>Not Started</t>
        </is>
      </c>
      <c r="V13" s="0"/>
      <c r="W13" s="0"/>
    </row>
    <row r="14">
      <c r="A14" s="0"/>
      <c r="B14" s="0"/>
      <c r="C14" s="0"/>
      <c r="D14" s="0"/>
      <c r="E14" s="3" t="inlineStr">
        <is>
          <t>Medium</t>
        </is>
      </c>
      <c r="F14" s="3" t="inlineStr">
        <is>
          <t>Open</t>
        </is>
      </c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3" t="inlineStr">
        <is>
          <t>Not Started</t>
        </is>
      </c>
      <c r="V14" s="0"/>
      <c r="W14" s="0"/>
    </row>
    <row r="15">
      <c r="A15" s="0"/>
      <c r="B15" s="0"/>
      <c r="C15" s="0"/>
      <c r="D15" s="0"/>
      <c r="E15" s="3" t="inlineStr">
        <is>
          <t>Medium</t>
        </is>
      </c>
      <c r="F15" s="3" t="inlineStr">
        <is>
          <t>Open</t>
        </is>
      </c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3" t="inlineStr">
        <is>
          <t>Not Started</t>
        </is>
      </c>
      <c r="V15" s="0"/>
      <c r="W15" s="0"/>
    </row>
    <row r="16">
      <c r="A16" s="0"/>
      <c r="B16" s="0"/>
      <c r="C16" s="0"/>
      <c r="D16" s="0"/>
      <c r="E16" s="3" t="inlineStr">
        <is>
          <t>Medium</t>
        </is>
      </c>
      <c r="F16" s="3" t="inlineStr">
        <is>
          <t>Open</t>
        </is>
      </c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3" t="inlineStr">
        <is>
          <t>Not Started</t>
        </is>
      </c>
      <c r="V16" s="0"/>
      <c r="W16" s="0"/>
    </row>
    <row r="17">
      <c r="A17" s="0"/>
      <c r="B17" s="0"/>
      <c r="C17" s="0"/>
      <c r="D17" s="0"/>
      <c r="E17" s="3" t="inlineStr">
        <is>
          <t>Medium</t>
        </is>
      </c>
      <c r="F17" s="3" t="inlineStr">
        <is>
          <t>Open</t>
        </is>
      </c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3" t="inlineStr">
        <is>
          <t>Not Started</t>
        </is>
      </c>
      <c r="V17" s="0"/>
      <c r="W17" s="0"/>
    </row>
    <row r="18">
      <c r="A18" s="0"/>
      <c r="B18" s="0"/>
      <c r="C18" s="0"/>
      <c r="D18" s="0"/>
      <c r="E18" s="3" t="inlineStr">
        <is>
          <t>Medium</t>
        </is>
      </c>
      <c r="F18" s="3" t="inlineStr">
        <is>
          <t>Open</t>
        </is>
      </c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3" t="inlineStr">
        <is>
          <t>Not Started</t>
        </is>
      </c>
      <c r="V18" s="0"/>
      <c r="W18" s="0"/>
    </row>
    <row r="19">
      <c r="A19" s="0"/>
      <c r="B19" s="0"/>
      <c r="C19" s="0"/>
      <c r="D19" s="0"/>
      <c r="E19" s="3" t="inlineStr">
        <is>
          <t>Medium</t>
        </is>
      </c>
      <c r="F19" s="3" t="inlineStr">
        <is>
          <t>Open</t>
        </is>
      </c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3" t="inlineStr">
        <is>
          <t>Not Started</t>
        </is>
      </c>
      <c r="V19" s="0"/>
      <c r="W19" s="0"/>
    </row>
    <row r="20">
      <c r="A20" s="0"/>
      <c r="B20" s="0"/>
      <c r="C20" s="0"/>
      <c r="D20" s="0"/>
      <c r="E20" s="3" t="inlineStr">
        <is>
          <t>Medium</t>
        </is>
      </c>
      <c r="F20" s="3" t="inlineStr">
        <is>
          <t>Open</t>
        </is>
      </c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3" t="inlineStr">
        <is>
          <t>Not Started</t>
        </is>
      </c>
      <c r="V20" s="0"/>
      <c r="W20" s="0"/>
    </row>
    <row r="21">
      <c r="A21" s="0"/>
      <c r="B21" s="0"/>
      <c r="C21" s="0"/>
      <c r="D21" s="0"/>
      <c r="E21" s="3" t="inlineStr">
        <is>
          <t>Medium</t>
        </is>
      </c>
      <c r="F21" s="3" t="inlineStr">
        <is>
          <t>Open</t>
        </is>
      </c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3" t="inlineStr">
        <is>
          <t>Not Started</t>
        </is>
      </c>
      <c r="V21" s="0"/>
      <c r="W21" s="0"/>
    </row>
    <row r="22">
      <c r="A22" s="0"/>
      <c r="B22" s="0"/>
      <c r="C22" s="0"/>
      <c r="D22" s="0"/>
      <c r="E22" s="3" t="inlineStr">
        <is>
          <t>Medium</t>
        </is>
      </c>
      <c r="F22" s="3" t="inlineStr">
        <is>
          <t>Open</t>
        </is>
      </c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3" t="inlineStr">
        <is>
          <t>Not Started</t>
        </is>
      </c>
      <c r="V22" s="0"/>
      <c r="W22" s="0"/>
    </row>
    <row r="23">
      <c r="A23" s="0"/>
      <c r="B23" s="0"/>
      <c r="C23" s="0"/>
      <c r="D23" s="0"/>
      <c r="E23" s="3" t="inlineStr">
        <is>
          <t>Medium</t>
        </is>
      </c>
      <c r="F23" s="3" t="inlineStr">
        <is>
          <t>Open</t>
        </is>
      </c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3" t="inlineStr">
        <is>
          <t>Not Started</t>
        </is>
      </c>
      <c r="V23" s="0"/>
      <c r="W23" s="0"/>
    </row>
    <row r="24">
      <c r="A24" s="0"/>
      <c r="B24" s="0"/>
      <c r="C24" s="0"/>
      <c r="D24" s="0"/>
      <c r="E24" s="3" t="inlineStr">
        <is>
          <t>Medium</t>
        </is>
      </c>
      <c r="F24" s="3" t="inlineStr">
        <is>
          <t>Open</t>
        </is>
      </c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3" t="inlineStr">
        <is>
          <t>Not Started</t>
        </is>
      </c>
      <c r="V24" s="0"/>
      <c r="W24" s="0"/>
    </row>
    <row r="25">
      <c r="A25" s="0"/>
      <c r="B25" s="0"/>
      <c r="C25" s="0"/>
      <c r="D25" s="0"/>
      <c r="E25" s="3" t="inlineStr">
        <is>
          <t>Medium</t>
        </is>
      </c>
      <c r="F25" s="3" t="inlineStr">
        <is>
          <t>Open</t>
        </is>
      </c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3" t="inlineStr">
        <is>
          <t>Not Started</t>
        </is>
      </c>
      <c r="V25" s="0"/>
      <c r="W25" s="0"/>
    </row>
    <row r="26">
      <c r="A26" s="0"/>
      <c r="B26" s="0"/>
      <c r="C26" s="0"/>
      <c r="D26" s="0"/>
      <c r="E26" s="3" t="inlineStr">
        <is>
          <t>Medium</t>
        </is>
      </c>
      <c r="F26" s="3" t="inlineStr">
        <is>
          <t>Open</t>
        </is>
      </c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3" t="inlineStr">
        <is>
          <t>Not Started</t>
        </is>
      </c>
      <c r="V26" s="0"/>
      <c r="W26" s="0"/>
    </row>
    <row r="27">
      <c r="A27" s="0"/>
      <c r="B27" s="0"/>
      <c r="C27" s="0"/>
      <c r="D27" s="0"/>
      <c r="E27" s="3" t="inlineStr">
        <is>
          <t>Medium</t>
        </is>
      </c>
      <c r="F27" s="3" t="inlineStr">
        <is>
          <t>Open</t>
        </is>
      </c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3" t="inlineStr">
        <is>
          <t>Not Started</t>
        </is>
      </c>
      <c r="V27" s="0"/>
      <c r="W27" s="0"/>
    </row>
    <row r="28">
      <c r="A28" s="0"/>
      <c r="B28" s="0"/>
      <c r="C28" s="0"/>
      <c r="D28" s="0"/>
      <c r="E28" s="3" t="inlineStr">
        <is>
          <t>Medium</t>
        </is>
      </c>
      <c r="F28" s="3" t="inlineStr">
        <is>
          <t>Open</t>
        </is>
      </c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3" t="inlineStr">
        <is>
          <t>Not Started</t>
        </is>
      </c>
      <c r="V28" s="0"/>
      <c r="W28" s="0"/>
    </row>
    <row r="29">
      <c r="A29" s="0"/>
      <c r="B29" s="0"/>
      <c r="C29" s="0"/>
      <c r="D29" s="0"/>
      <c r="E29" s="3" t="inlineStr">
        <is>
          <t>Medium</t>
        </is>
      </c>
      <c r="F29" s="3" t="inlineStr">
        <is>
          <t>Open</t>
        </is>
      </c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3" t="inlineStr">
        <is>
          <t>Not Started</t>
        </is>
      </c>
      <c r="V29" s="0"/>
      <c r="W29" s="0"/>
    </row>
    <row r="30">
      <c r="A30" s="0"/>
      <c r="B30" s="0"/>
      <c r="C30" s="0"/>
      <c r="D30" s="0"/>
      <c r="E30" s="3" t="inlineStr">
        <is>
          <t>Medium</t>
        </is>
      </c>
      <c r="F30" s="3" t="inlineStr">
        <is>
          <t>Open</t>
        </is>
      </c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3" t="inlineStr">
        <is>
          <t>Not Started</t>
        </is>
      </c>
      <c r="V30" s="0"/>
      <c r="W30" s="0"/>
    </row>
    <row r="31">
      <c r="A31" s="0"/>
      <c r="B31" s="0"/>
      <c r="C31" s="0"/>
      <c r="D31" s="0"/>
      <c r="E31" s="3" t="inlineStr">
        <is>
          <t>Medium</t>
        </is>
      </c>
      <c r="F31" s="3" t="inlineStr">
        <is>
          <t>Open</t>
        </is>
      </c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3" t="inlineStr">
        <is>
          <t>Not Started</t>
        </is>
      </c>
      <c r="V31" s="0"/>
      <c r="W31" s="0"/>
    </row>
    <row r="32">
      <c r="A32" s="0"/>
      <c r="B32" s="0"/>
      <c r="C32" s="0"/>
      <c r="D32" s="0"/>
      <c r="E32" s="3" t="inlineStr">
        <is>
          <t>Medium</t>
        </is>
      </c>
      <c r="F32" s="3" t="inlineStr">
        <is>
          <t>Open</t>
        </is>
      </c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3" t="inlineStr">
        <is>
          <t>Not Started</t>
        </is>
      </c>
      <c r="V32" s="0"/>
      <c r="W32" s="0"/>
    </row>
    <row r="33">
      <c r="A33" s="0"/>
      <c r="B33" s="0"/>
      <c r="C33" s="0"/>
      <c r="D33" s="0"/>
      <c r="E33" s="3" t="inlineStr">
        <is>
          <t>Medium</t>
        </is>
      </c>
      <c r="F33" s="3" t="inlineStr">
        <is>
          <t>Open</t>
        </is>
      </c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3" t="inlineStr">
        <is>
          <t>Not Started</t>
        </is>
      </c>
      <c r="V33" s="0"/>
      <c r="W33" s="0"/>
    </row>
    <row r="34">
      <c r="A34" s="0"/>
      <c r="B34" s="0"/>
      <c r="C34" s="0"/>
      <c r="D34" s="0"/>
      <c r="E34" s="3" t="inlineStr">
        <is>
          <t>Medium</t>
        </is>
      </c>
      <c r="F34" s="3" t="inlineStr">
        <is>
          <t>Open</t>
        </is>
      </c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3" t="inlineStr">
        <is>
          <t>Not Started</t>
        </is>
      </c>
      <c r="V34" s="0"/>
      <c r="W34" s="0"/>
    </row>
    <row r="35">
      <c r="A35" s="0"/>
      <c r="B35" s="0"/>
      <c r="C35" s="0"/>
      <c r="D35" s="0"/>
      <c r="E35" s="3" t="inlineStr">
        <is>
          <t>Medium</t>
        </is>
      </c>
      <c r="F35" s="3" t="inlineStr">
        <is>
          <t>Open</t>
        </is>
      </c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3" t="inlineStr">
        <is>
          <t>Not Started</t>
        </is>
      </c>
      <c r="V35" s="0"/>
      <c r="W35" s="0"/>
    </row>
    <row r="36">
      <c r="A36" s="0"/>
      <c r="B36" s="0"/>
      <c r="C36" s="0"/>
      <c r="D36" s="0"/>
      <c r="E36" s="3" t="inlineStr">
        <is>
          <t>Medium</t>
        </is>
      </c>
      <c r="F36" s="3" t="inlineStr">
        <is>
          <t>Open</t>
        </is>
      </c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3" t="inlineStr">
        <is>
          <t>Not Started</t>
        </is>
      </c>
      <c r="V36" s="0"/>
      <c r="W36" s="0"/>
    </row>
    <row r="37">
      <c r="A37" s="0"/>
      <c r="B37" s="0"/>
      <c r="C37" s="0"/>
      <c r="D37" s="0"/>
      <c r="E37" s="3" t="inlineStr">
        <is>
          <t>Medium</t>
        </is>
      </c>
      <c r="F37" s="3" t="inlineStr">
        <is>
          <t>Open</t>
        </is>
      </c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3" t="inlineStr">
        <is>
          <t>Not Started</t>
        </is>
      </c>
      <c r="V37" s="0"/>
      <c r="W37" s="0"/>
    </row>
    <row r="38">
      <c r="A38" s="0"/>
      <c r="B38" s="0"/>
      <c r="C38" s="0"/>
      <c r="D38" s="0"/>
      <c r="E38" s="3" t="inlineStr">
        <is>
          <t>Medium</t>
        </is>
      </c>
      <c r="F38" s="3" t="inlineStr">
        <is>
          <t>Open</t>
        </is>
      </c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3" t="inlineStr">
        <is>
          <t>Not Started</t>
        </is>
      </c>
      <c r="V38" s="0"/>
      <c r="W38" s="0"/>
    </row>
    <row r="39">
      <c r="A39" s="0"/>
      <c r="B39" s="0"/>
      <c r="C39" s="0"/>
      <c r="D39" s="0"/>
      <c r="E39" s="3" t="inlineStr">
        <is>
          <t>Medium</t>
        </is>
      </c>
      <c r="F39" s="3" t="inlineStr">
        <is>
          <t>Open</t>
        </is>
      </c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3" t="inlineStr">
        <is>
          <t>Not Started</t>
        </is>
      </c>
      <c r="V39" s="0"/>
      <c r="W39" s="0"/>
    </row>
    <row r="40">
      <c r="A40" s="0"/>
      <c r="B40" s="0"/>
      <c r="C40" s="0"/>
      <c r="D40" s="0"/>
      <c r="E40" s="3" t="inlineStr">
        <is>
          <t>Medium</t>
        </is>
      </c>
      <c r="F40" s="3" t="inlineStr">
        <is>
          <t>Open</t>
        </is>
      </c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3" t="inlineStr">
        <is>
          <t>Not Started</t>
        </is>
      </c>
      <c r="V40" s="0"/>
      <c r="W40" s="0"/>
    </row>
    <row r="41">
      <c r="A41" s="0"/>
      <c r="B41" s="0"/>
      <c r="C41" s="0"/>
      <c r="D41" s="0"/>
      <c r="E41" s="3" t="inlineStr">
        <is>
          <t>Medium</t>
        </is>
      </c>
      <c r="F41" s="3" t="inlineStr">
        <is>
          <t>Open</t>
        </is>
      </c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3" t="inlineStr">
        <is>
          <t>Not Started</t>
        </is>
      </c>
      <c r="V41" s="0"/>
      <c r="W41" s="0"/>
    </row>
    <row r="42">
      <c r="A42" s="0"/>
      <c r="B42" s="0"/>
      <c r="C42" s="0"/>
      <c r="D42" s="0"/>
      <c r="E42" s="3" t="inlineStr">
        <is>
          <t>Medium</t>
        </is>
      </c>
      <c r="F42" s="3" t="inlineStr">
        <is>
          <t>Open</t>
        </is>
      </c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3" t="inlineStr">
        <is>
          <t>Not Started</t>
        </is>
      </c>
      <c r="V42" s="0"/>
      <c r="W42" s="0"/>
    </row>
    <row r="43">
      <c r="A43" s="0"/>
      <c r="B43" s="0"/>
      <c r="C43" s="0"/>
      <c r="D43" s="0"/>
      <c r="E43" s="3" t="inlineStr">
        <is>
          <t>Medium</t>
        </is>
      </c>
      <c r="F43" s="3" t="inlineStr">
        <is>
          <t>Open</t>
        </is>
      </c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3" t="inlineStr">
        <is>
          <t>Not Started</t>
        </is>
      </c>
      <c r="V43" s="0"/>
      <c r="W43" s="0"/>
    </row>
    <row r="44">
      <c r="A44" s="0"/>
      <c r="B44" s="0"/>
      <c r="C44" s="0"/>
      <c r="D44" s="0"/>
      <c r="E44" s="3" t="inlineStr">
        <is>
          <t>Medium</t>
        </is>
      </c>
      <c r="F44" s="3" t="inlineStr">
        <is>
          <t>Open</t>
        </is>
      </c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3" t="inlineStr">
        <is>
          <t>Not Started</t>
        </is>
      </c>
      <c r="V44" s="0"/>
      <c r="W44" s="0"/>
    </row>
    <row r="45">
      <c r="A45" s="0"/>
      <c r="B45" s="0"/>
      <c r="C45" s="0"/>
      <c r="D45" s="0"/>
      <c r="E45" s="3" t="inlineStr">
        <is>
          <t>Medium</t>
        </is>
      </c>
      <c r="F45" s="3" t="inlineStr">
        <is>
          <t>Open</t>
        </is>
      </c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3" t="inlineStr">
        <is>
          <t>Not Started</t>
        </is>
      </c>
      <c r="V45" s="0"/>
      <c r="W45" s="0"/>
    </row>
    <row r="46">
      <c r="A46" s="0"/>
      <c r="B46" s="0"/>
      <c r="C46" s="0"/>
      <c r="D46" s="0"/>
      <c r="E46" s="3" t="inlineStr">
        <is>
          <t>Medium</t>
        </is>
      </c>
      <c r="F46" s="3" t="inlineStr">
        <is>
          <t>Open</t>
        </is>
      </c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3" t="inlineStr">
        <is>
          <t>Not Started</t>
        </is>
      </c>
      <c r="V46" s="0"/>
      <c r="W46" s="0"/>
    </row>
    <row r="47">
      <c r="A47" s="0"/>
      <c r="B47" s="0"/>
      <c r="C47" s="0"/>
      <c r="D47" s="0"/>
      <c r="E47" s="3" t="inlineStr">
        <is>
          <t>Medium</t>
        </is>
      </c>
      <c r="F47" s="3" t="inlineStr">
        <is>
          <t>Open</t>
        </is>
      </c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3" t="inlineStr">
        <is>
          <t>Not Started</t>
        </is>
      </c>
      <c r="V47" s="0"/>
      <c r="W47" s="0"/>
    </row>
    <row r="48">
      <c r="A48" s="0"/>
      <c r="B48" s="0"/>
      <c r="C48" s="0"/>
      <c r="D48" s="0"/>
      <c r="E48" s="3" t="inlineStr">
        <is>
          <t>Medium</t>
        </is>
      </c>
      <c r="F48" s="3" t="inlineStr">
        <is>
          <t>Open</t>
        </is>
      </c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3" t="inlineStr">
        <is>
          <t>Not Started</t>
        </is>
      </c>
      <c r="V48" s="0"/>
      <c r="W48" s="0"/>
    </row>
    <row r="49">
      <c r="A49" s="0"/>
      <c r="B49" s="0"/>
      <c r="C49" s="0"/>
      <c r="D49" s="0"/>
      <c r="E49" s="3" t="inlineStr">
        <is>
          <t>Medium</t>
        </is>
      </c>
      <c r="F49" s="3" t="inlineStr">
        <is>
          <t>Open</t>
        </is>
      </c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3" t="inlineStr">
        <is>
          <t>Not Started</t>
        </is>
      </c>
      <c r="V49" s="0"/>
      <c r="W49" s="0"/>
    </row>
    <row r="50">
      <c r="A50" s="0"/>
      <c r="B50" s="0"/>
      <c r="C50" s="0"/>
      <c r="D50" s="0"/>
      <c r="E50" s="3" t="inlineStr">
        <is>
          <t>Medium</t>
        </is>
      </c>
      <c r="F50" s="3" t="inlineStr">
        <is>
          <t>Open</t>
        </is>
      </c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3" t="inlineStr">
        <is>
          <t>Not Started</t>
        </is>
      </c>
      <c r="V50" s="0"/>
      <c r="W50" s="0"/>
    </row>
    <row r="51">
      <c r="A51" s="0"/>
      <c r="B51" s="0"/>
      <c r="C51" s="0"/>
      <c r="D51" s="0"/>
      <c r="E51" s="3" t="inlineStr">
        <is>
          <t>Medium</t>
        </is>
      </c>
      <c r="F51" s="3" t="inlineStr">
        <is>
          <t>Open</t>
        </is>
      </c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3" t="inlineStr">
        <is>
          <t>Not Started</t>
        </is>
      </c>
      <c r="V51" s="0"/>
      <c r="W51" s="0"/>
    </row>
    <row r="52">
      <c r="A52" s="0"/>
      <c r="B52" s="0"/>
      <c r="C52" s="0"/>
      <c r="D52" s="0"/>
      <c r="E52" s="3" t="inlineStr">
        <is>
          <t>Medium</t>
        </is>
      </c>
      <c r="F52" s="3" t="inlineStr">
        <is>
          <t>Open</t>
        </is>
      </c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3" t="inlineStr">
        <is>
          <t>Not Started</t>
        </is>
      </c>
      <c r="V52" s="0"/>
      <c r="W52" s="0"/>
    </row>
    <row r="53">
      <c r="A53" s="0"/>
      <c r="B53" s="0"/>
      <c r="C53" s="0"/>
      <c r="D53" s="0"/>
      <c r="E53" s="3" t="inlineStr">
        <is>
          <t>Medium</t>
        </is>
      </c>
      <c r="F53" s="3" t="inlineStr">
        <is>
          <t>Open</t>
        </is>
      </c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3" t="inlineStr">
        <is>
          <t>Not Started</t>
        </is>
      </c>
      <c r="V53" s="0"/>
      <c r="W53" s="0"/>
    </row>
    <row r="54">
      <c r="A54" s="0"/>
      <c r="B54" s="0"/>
      <c r="C54" s="0"/>
      <c r="D54" s="0"/>
      <c r="E54" s="3" t="inlineStr">
        <is>
          <t>Medium</t>
        </is>
      </c>
      <c r="F54" s="3" t="inlineStr">
        <is>
          <t>Open</t>
        </is>
      </c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3" t="inlineStr">
        <is>
          <t>Not Started</t>
        </is>
      </c>
      <c r="V54" s="0"/>
      <c r="W54" s="0"/>
    </row>
    <row r="55">
      <c r="A55" s="0"/>
      <c r="B55" s="0"/>
      <c r="C55" s="0"/>
      <c r="D55" s="0"/>
      <c r="E55" s="3" t="inlineStr">
        <is>
          <t>Medium</t>
        </is>
      </c>
      <c r="F55" s="3" t="inlineStr">
        <is>
          <t>Open</t>
        </is>
      </c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3" t="inlineStr">
        <is>
          <t>Not Started</t>
        </is>
      </c>
      <c r="V55" s="0"/>
      <c r="W55" s="0"/>
    </row>
    <row r="56">
      <c r="A56" s="0"/>
      <c r="B56" s="0"/>
      <c r="C56" s="0"/>
      <c r="D56" s="0"/>
      <c r="E56" s="3" t="inlineStr">
        <is>
          <t>Medium</t>
        </is>
      </c>
      <c r="F56" s="3" t="inlineStr">
        <is>
          <t>Open</t>
        </is>
      </c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3" t="inlineStr">
        <is>
          <t>Not Started</t>
        </is>
      </c>
      <c r="V56" s="0"/>
      <c r="W56" s="0"/>
    </row>
    <row r="57">
      <c r="A57" s="0"/>
      <c r="B57" s="0"/>
      <c r="C57" s="0"/>
      <c r="D57" s="0"/>
      <c r="E57" s="3" t="inlineStr">
        <is>
          <t>Medium</t>
        </is>
      </c>
      <c r="F57" s="3" t="inlineStr">
        <is>
          <t>Open</t>
        </is>
      </c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3" t="inlineStr">
        <is>
          <t>Not Started</t>
        </is>
      </c>
      <c r="V57" s="0"/>
      <c r="W57" s="0"/>
    </row>
    <row r="58">
      <c r="A58" s="0"/>
      <c r="B58" s="0"/>
      <c r="C58" s="0"/>
      <c r="D58" s="0"/>
      <c r="E58" s="3" t="inlineStr">
        <is>
          <t>Medium</t>
        </is>
      </c>
      <c r="F58" s="3" t="inlineStr">
        <is>
          <t>Open</t>
        </is>
      </c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3" t="inlineStr">
        <is>
          <t>Not Started</t>
        </is>
      </c>
      <c r="V58" s="0"/>
      <c r="W58" s="0"/>
    </row>
    <row r="59">
      <c r="A59" s="0"/>
      <c r="B59" s="0"/>
      <c r="C59" s="0"/>
      <c r="D59" s="0"/>
      <c r="E59" s="3" t="inlineStr">
        <is>
          <t>Medium</t>
        </is>
      </c>
      <c r="F59" s="3" t="inlineStr">
        <is>
          <t>Open</t>
        </is>
      </c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3" t="inlineStr">
        <is>
          <t>Not Started</t>
        </is>
      </c>
      <c r="V59" s="0"/>
      <c r="W59" s="0"/>
    </row>
    <row r="60">
      <c r="A60" s="0"/>
      <c r="B60" s="0"/>
      <c r="C60" s="0"/>
      <c r="D60" s="0"/>
      <c r="E60" s="3" t="inlineStr">
        <is>
          <t>Medium</t>
        </is>
      </c>
      <c r="F60" s="3" t="inlineStr">
        <is>
          <t>Open</t>
        </is>
      </c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3" t="inlineStr">
        <is>
          <t>Not Started</t>
        </is>
      </c>
      <c r="V60" s="0"/>
      <c r="W60" s="0"/>
    </row>
    <row r="61">
      <c r="A61" s="0"/>
      <c r="B61" s="0"/>
      <c r="C61" s="0"/>
      <c r="D61" s="0"/>
      <c r="E61" s="3" t="inlineStr">
        <is>
          <t>Medium</t>
        </is>
      </c>
      <c r="F61" s="3" t="inlineStr">
        <is>
          <t>Open</t>
        </is>
      </c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3" t="inlineStr">
        <is>
          <t>Not Started</t>
        </is>
      </c>
      <c r="V61" s="0"/>
      <c r="W61" s="0"/>
    </row>
    <row r="62">
      <c r="A62" s="0"/>
      <c r="B62" s="0"/>
      <c r="C62" s="0"/>
      <c r="D62" s="0"/>
      <c r="E62" s="3" t="inlineStr">
        <is>
          <t>Medium</t>
        </is>
      </c>
      <c r="F62" s="3" t="inlineStr">
        <is>
          <t>Open</t>
        </is>
      </c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3" t="inlineStr">
        <is>
          <t>Not Started</t>
        </is>
      </c>
      <c r="V62" s="0"/>
      <c r="W62" s="0"/>
    </row>
    <row r="63">
      <c r="A63" s="0"/>
      <c r="B63" s="0"/>
      <c r="C63" s="0"/>
      <c r="D63" s="0"/>
      <c r="E63" s="3" t="inlineStr">
        <is>
          <t>Medium</t>
        </is>
      </c>
      <c r="F63" s="3" t="inlineStr">
        <is>
          <t>Open</t>
        </is>
      </c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3" t="inlineStr">
        <is>
          <t>Not Started</t>
        </is>
      </c>
      <c r="V63" s="0"/>
      <c r="W63" s="0"/>
    </row>
    <row r="64">
      <c r="A64" s="0"/>
      <c r="B64" s="0"/>
      <c r="C64" s="0"/>
      <c r="D64" s="0"/>
      <c r="E64" s="3" t="inlineStr">
        <is>
          <t>Medium</t>
        </is>
      </c>
      <c r="F64" s="3" t="inlineStr">
        <is>
          <t>Open</t>
        </is>
      </c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3" t="inlineStr">
        <is>
          <t>Not Started</t>
        </is>
      </c>
      <c r="V64" s="0"/>
      <c r="W64" s="0"/>
    </row>
    <row r="65">
      <c r="A65" s="0"/>
      <c r="B65" s="0"/>
      <c r="C65" s="0"/>
      <c r="D65" s="0"/>
      <c r="E65" s="3" t="inlineStr">
        <is>
          <t>Medium</t>
        </is>
      </c>
      <c r="F65" s="3" t="inlineStr">
        <is>
          <t>Open</t>
        </is>
      </c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3" t="inlineStr">
        <is>
          <t>Not Started</t>
        </is>
      </c>
      <c r="V65" s="0"/>
      <c r="W65" s="0"/>
    </row>
    <row r="66">
      <c r="A66" s="0"/>
      <c r="B66" s="0"/>
      <c r="C66" s="0"/>
      <c r="D66" s="0"/>
      <c r="E66" s="3" t="inlineStr">
        <is>
          <t>Medium</t>
        </is>
      </c>
      <c r="F66" s="3" t="inlineStr">
        <is>
          <t>Open</t>
        </is>
      </c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3" t="inlineStr">
        <is>
          <t>Not Started</t>
        </is>
      </c>
      <c r="V66" s="0"/>
      <c r="W66" s="0"/>
    </row>
    <row r="67">
      <c r="A67" s="0"/>
      <c r="B67" s="0"/>
      <c r="C67" s="0"/>
      <c r="D67" s="0"/>
      <c r="E67" s="3" t="inlineStr">
        <is>
          <t>Medium</t>
        </is>
      </c>
      <c r="F67" s="3" t="inlineStr">
        <is>
          <t>Open</t>
        </is>
      </c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3" t="inlineStr">
        <is>
          <t>Not Started</t>
        </is>
      </c>
      <c r="V67" s="0"/>
      <c r="W67" s="0"/>
    </row>
    <row r="68">
      <c r="A68" s="0"/>
      <c r="B68" s="0"/>
      <c r="C68" s="0"/>
      <c r="D68" s="0"/>
      <c r="E68" s="3" t="inlineStr">
        <is>
          <t>Medium</t>
        </is>
      </c>
      <c r="F68" s="3" t="inlineStr">
        <is>
          <t>Open</t>
        </is>
      </c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3" t="inlineStr">
        <is>
          <t>Not Started</t>
        </is>
      </c>
      <c r="V68" s="0"/>
      <c r="W68" s="0"/>
    </row>
    <row r="69">
      <c r="A69" s="0"/>
      <c r="B69" s="0"/>
      <c r="C69" s="0"/>
      <c r="D69" s="0"/>
      <c r="E69" s="3" t="inlineStr">
        <is>
          <t>Medium</t>
        </is>
      </c>
      <c r="F69" s="3" t="inlineStr">
        <is>
          <t>Open</t>
        </is>
      </c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3" t="inlineStr">
        <is>
          <t>Not Started</t>
        </is>
      </c>
      <c r="V69" s="0"/>
      <c r="W69" s="0"/>
    </row>
    <row r="70">
      <c r="A70" s="0"/>
      <c r="B70" s="0"/>
      <c r="C70" s="0"/>
      <c r="D70" s="0"/>
      <c r="E70" s="3" t="inlineStr">
        <is>
          <t>Medium</t>
        </is>
      </c>
      <c r="F70" s="3" t="inlineStr">
        <is>
          <t>Open</t>
        </is>
      </c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3" t="inlineStr">
        <is>
          <t>Not Started</t>
        </is>
      </c>
      <c r="V70" s="0"/>
      <c r="W70" s="0"/>
    </row>
    <row r="71">
      <c r="A71" s="0"/>
      <c r="B71" s="0"/>
      <c r="C71" s="0"/>
      <c r="D71" s="0"/>
      <c r="E71" s="3" t="inlineStr">
        <is>
          <t>Medium</t>
        </is>
      </c>
      <c r="F71" s="3" t="inlineStr">
        <is>
          <t>Open</t>
        </is>
      </c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3" t="inlineStr">
        <is>
          <t>Not Started</t>
        </is>
      </c>
      <c r="V71" s="0"/>
      <c r="W71" s="0"/>
    </row>
    <row r="72">
      <c r="A72" s="0"/>
      <c r="B72" s="0"/>
      <c r="C72" s="0"/>
      <c r="D72" s="0"/>
      <c r="E72" s="3" t="inlineStr">
        <is>
          <t>Medium</t>
        </is>
      </c>
      <c r="F72" s="3" t="inlineStr">
        <is>
          <t>Open</t>
        </is>
      </c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3" t="inlineStr">
        <is>
          <t>Not Started</t>
        </is>
      </c>
      <c r="V72" s="0"/>
      <c r="W72" s="0"/>
    </row>
    <row r="73">
      <c r="A73" s="0"/>
      <c r="B73" s="0"/>
      <c r="C73" s="0"/>
      <c r="D73" s="0"/>
      <c r="E73" s="3" t="inlineStr">
        <is>
          <t>Medium</t>
        </is>
      </c>
      <c r="F73" s="3" t="inlineStr">
        <is>
          <t>Open</t>
        </is>
      </c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3" t="inlineStr">
        <is>
          <t>Not Started</t>
        </is>
      </c>
      <c r="V73" s="0"/>
      <c r="W73" s="0"/>
    </row>
    <row r="74">
      <c r="A74" s="0"/>
      <c r="B74" s="0"/>
      <c r="C74" s="0"/>
      <c r="D74" s="0"/>
      <c r="E74" s="3" t="inlineStr">
        <is>
          <t>Medium</t>
        </is>
      </c>
      <c r="F74" s="3" t="inlineStr">
        <is>
          <t>Open</t>
        </is>
      </c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3" t="inlineStr">
        <is>
          <t>Not Started</t>
        </is>
      </c>
      <c r="V74" s="0"/>
      <c r="W74" s="0"/>
    </row>
    <row r="75">
      <c r="A75" s="0"/>
      <c r="B75" s="0"/>
      <c r="C75" s="0"/>
      <c r="D75" s="0"/>
      <c r="E75" s="3" t="inlineStr">
        <is>
          <t>Medium</t>
        </is>
      </c>
      <c r="F75" s="3" t="inlineStr">
        <is>
          <t>Open</t>
        </is>
      </c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3" t="inlineStr">
        <is>
          <t>Not Started</t>
        </is>
      </c>
      <c r="V75" s="0"/>
      <c r="W75" s="0"/>
    </row>
    <row r="76">
      <c r="A76" s="0"/>
      <c r="B76" s="0"/>
      <c r="C76" s="0"/>
      <c r="D76" s="0"/>
      <c r="E76" s="3" t="inlineStr">
        <is>
          <t>Medium</t>
        </is>
      </c>
      <c r="F76" s="3" t="inlineStr">
        <is>
          <t>Open</t>
        </is>
      </c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3" t="inlineStr">
        <is>
          <t>Not Started</t>
        </is>
      </c>
      <c r="V76" s="0"/>
      <c r="W76" s="0"/>
    </row>
    <row r="77">
      <c r="A77" s="0"/>
      <c r="B77" s="0"/>
      <c r="C77" s="0"/>
      <c r="D77" s="0"/>
      <c r="E77" s="3" t="inlineStr">
        <is>
          <t>Medium</t>
        </is>
      </c>
      <c r="F77" s="3" t="inlineStr">
        <is>
          <t>Open</t>
        </is>
      </c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3" t="inlineStr">
        <is>
          <t>Not Started</t>
        </is>
      </c>
      <c r="V77" s="0"/>
      <c r="W77" s="0"/>
    </row>
    <row r="78">
      <c r="A78" s="0"/>
      <c r="B78" s="0"/>
      <c r="C78" s="0"/>
      <c r="D78" s="0"/>
      <c r="E78" s="3" t="inlineStr">
        <is>
          <t>Medium</t>
        </is>
      </c>
      <c r="F78" s="3" t="inlineStr">
        <is>
          <t>Open</t>
        </is>
      </c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3" t="inlineStr">
        <is>
          <t>Not Started</t>
        </is>
      </c>
      <c r="V78" s="0"/>
      <c r="W78" s="0"/>
    </row>
    <row r="79">
      <c r="A79" s="0"/>
      <c r="B79" s="0"/>
      <c r="C79" s="0"/>
      <c r="D79" s="0"/>
      <c r="E79" s="3" t="inlineStr">
        <is>
          <t>Medium</t>
        </is>
      </c>
      <c r="F79" s="3" t="inlineStr">
        <is>
          <t>Open</t>
        </is>
      </c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3" t="inlineStr">
        <is>
          <t>Not Started</t>
        </is>
      </c>
      <c r="V79" s="0"/>
      <c r="W79" s="0"/>
    </row>
    <row r="80">
      <c r="A80" s="0"/>
      <c r="B80" s="0"/>
      <c r="C80" s="0"/>
      <c r="D80" s="0"/>
      <c r="E80" s="3" t="inlineStr">
        <is>
          <t>Medium</t>
        </is>
      </c>
      <c r="F80" s="3" t="inlineStr">
        <is>
          <t>Open</t>
        </is>
      </c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3" t="inlineStr">
        <is>
          <t>Not Started</t>
        </is>
      </c>
      <c r="V80" s="0"/>
      <c r="W80" s="0"/>
    </row>
    <row r="81">
      <c r="A81" s="0"/>
      <c r="B81" s="0"/>
      <c r="C81" s="0"/>
      <c r="D81" s="0"/>
      <c r="E81" s="3" t="inlineStr">
        <is>
          <t>Medium</t>
        </is>
      </c>
      <c r="F81" s="3" t="inlineStr">
        <is>
          <t>Open</t>
        </is>
      </c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3" t="inlineStr">
        <is>
          <t>Not Started</t>
        </is>
      </c>
      <c r="V81" s="0"/>
      <c r="W81" s="0"/>
    </row>
    <row r="82">
      <c r="A82" s="0"/>
      <c r="B82" s="0"/>
      <c r="C82" s="0"/>
      <c r="D82" s="0"/>
      <c r="E82" s="3" t="inlineStr">
        <is>
          <t>Medium</t>
        </is>
      </c>
      <c r="F82" s="3" t="inlineStr">
        <is>
          <t>Open</t>
        </is>
      </c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3" t="inlineStr">
        <is>
          <t>Not Started</t>
        </is>
      </c>
      <c r="V82" s="0"/>
      <c r="W82" s="0"/>
    </row>
    <row r="83">
      <c r="A83" s="0"/>
      <c r="B83" s="0"/>
      <c r="C83" s="0"/>
      <c r="D83" s="0"/>
      <c r="E83" s="3" t="inlineStr">
        <is>
          <t>Medium</t>
        </is>
      </c>
      <c r="F83" s="3" t="inlineStr">
        <is>
          <t>Open</t>
        </is>
      </c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3" t="inlineStr">
        <is>
          <t>Not Started</t>
        </is>
      </c>
      <c r="V83" s="0"/>
      <c r="W83" s="0"/>
    </row>
    <row r="84">
      <c r="A84" s="0"/>
      <c r="B84" s="0"/>
      <c r="C84" s="0"/>
      <c r="D84" s="0"/>
      <c r="E84" s="3" t="inlineStr">
        <is>
          <t>Medium</t>
        </is>
      </c>
      <c r="F84" s="3" t="inlineStr">
        <is>
          <t>Open</t>
        </is>
      </c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3" t="inlineStr">
        <is>
          <t>Not Started</t>
        </is>
      </c>
      <c r="V84" s="0"/>
      <c r="W84" s="0"/>
    </row>
    <row r="85">
      <c r="A85" s="0"/>
      <c r="B85" s="0"/>
      <c r="C85" s="0"/>
      <c r="D85" s="0"/>
      <c r="E85" s="3" t="inlineStr">
        <is>
          <t>Medium</t>
        </is>
      </c>
      <c r="F85" s="3" t="inlineStr">
        <is>
          <t>Open</t>
        </is>
      </c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3" t="inlineStr">
        <is>
          <t>Not Started</t>
        </is>
      </c>
      <c r="V85" s="0"/>
      <c r="W85" s="0"/>
    </row>
    <row r="86">
      <c r="A86" s="0"/>
      <c r="B86" s="0"/>
      <c r="C86" s="0"/>
      <c r="D86" s="0"/>
      <c r="E86" s="3" t="inlineStr">
        <is>
          <t>Medium</t>
        </is>
      </c>
      <c r="F86" s="3" t="inlineStr">
        <is>
          <t>Open</t>
        </is>
      </c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3" t="inlineStr">
        <is>
          <t>Not Started</t>
        </is>
      </c>
      <c r="V86" s="0"/>
      <c r="W86" s="0"/>
    </row>
    <row r="87">
      <c r="A87" s="0"/>
      <c r="B87" s="0"/>
      <c r="C87" s="0"/>
      <c r="D87" s="0"/>
      <c r="E87" s="3" t="inlineStr">
        <is>
          <t>Medium</t>
        </is>
      </c>
      <c r="F87" s="3" t="inlineStr">
        <is>
          <t>Open</t>
        </is>
      </c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3" t="inlineStr">
        <is>
          <t>Not Started</t>
        </is>
      </c>
      <c r="V87" s="0"/>
      <c r="W87" s="0"/>
    </row>
    <row r="88">
      <c r="A88" s="0"/>
      <c r="B88" s="0"/>
      <c r="C88" s="0"/>
      <c r="D88" s="0"/>
      <c r="E88" s="3" t="inlineStr">
        <is>
          <t>Medium</t>
        </is>
      </c>
      <c r="F88" s="3" t="inlineStr">
        <is>
          <t>Open</t>
        </is>
      </c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3" t="inlineStr">
        <is>
          <t>Not Started</t>
        </is>
      </c>
      <c r="V88" s="0"/>
      <c r="W88" s="0"/>
    </row>
    <row r="89">
      <c r="A89" s="0"/>
      <c r="B89" s="0"/>
      <c r="C89" s="0"/>
      <c r="D89" s="0"/>
      <c r="E89" s="3" t="inlineStr">
        <is>
          <t>Medium</t>
        </is>
      </c>
      <c r="F89" s="3" t="inlineStr">
        <is>
          <t>Open</t>
        </is>
      </c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3" t="inlineStr">
        <is>
          <t>Not Started</t>
        </is>
      </c>
      <c r="V89" s="0"/>
      <c r="W89" s="0"/>
    </row>
    <row r="90">
      <c r="A90" s="0"/>
      <c r="B90" s="0"/>
      <c r="C90" s="0"/>
      <c r="D90" s="0"/>
      <c r="E90" s="3" t="inlineStr">
        <is>
          <t>Medium</t>
        </is>
      </c>
      <c r="F90" s="3" t="inlineStr">
        <is>
          <t>Open</t>
        </is>
      </c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3" t="inlineStr">
        <is>
          <t>Not Started</t>
        </is>
      </c>
      <c r="V90" s="0"/>
      <c r="W90" s="0"/>
    </row>
    <row r="91">
      <c r="A91" s="0"/>
      <c r="B91" s="0"/>
      <c r="C91" s="0"/>
      <c r="D91" s="0"/>
      <c r="E91" s="3" t="inlineStr">
        <is>
          <t>Medium</t>
        </is>
      </c>
      <c r="F91" s="3" t="inlineStr">
        <is>
          <t>Open</t>
        </is>
      </c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3" t="inlineStr">
        <is>
          <t>Not Started</t>
        </is>
      </c>
      <c r="V91" s="0"/>
      <c r="W91" s="0"/>
    </row>
    <row r="92">
      <c r="A92" s="0"/>
      <c r="B92" s="0"/>
      <c r="C92" s="0"/>
      <c r="D92" s="0"/>
      <c r="E92" s="3" t="inlineStr">
        <is>
          <t>Medium</t>
        </is>
      </c>
      <c r="F92" s="3" t="inlineStr">
        <is>
          <t>Open</t>
        </is>
      </c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3" t="inlineStr">
        <is>
          <t>Not Started</t>
        </is>
      </c>
      <c r="V92" s="0"/>
      <c r="W92" s="0"/>
    </row>
    <row r="93">
      <c r="A93" s="0"/>
      <c r="B93" s="0"/>
      <c r="C93" s="0"/>
      <c r="D93" s="0"/>
      <c r="E93" s="3" t="inlineStr">
        <is>
          <t>Medium</t>
        </is>
      </c>
      <c r="F93" s="3" t="inlineStr">
        <is>
          <t>Open</t>
        </is>
      </c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3" t="inlineStr">
        <is>
          <t>Not Started</t>
        </is>
      </c>
      <c r="V93" s="0"/>
      <c r="W93" s="0"/>
    </row>
    <row r="94">
      <c r="A94" s="0"/>
      <c r="B94" s="0"/>
      <c r="C94" s="0"/>
      <c r="D94" s="0"/>
      <c r="E94" s="3" t="inlineStr">
        <is>
          <t>Medium</t>
        </is>
      </c>
      <c r="F94" s="3" t="inlineStr">
        <is>
          <t>Open</t>
        </is>
      </c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3" t="inlineStr">
        <is>
          <t>Not Started</t>
        </is>
      </c>
      <c r="V94" s="0"/>
      <c r="W94" s="0"/>
    </row>
    <row r="95">
      <c r="A95" s="0"/>
      <c r="B95" s="0"/>
      <c r="C95" s="0"/>
      <c r="D95" s="0"/>
      <c r="E95" s="3" t="inlineStr">
        <is>
          <t>Medium</t>
        </is>
      </c>
      <c r="F95" s="3" t="inlineStr">
        <is>
          <t>Open</t>
        </is>
      </c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3" t="inlineStr">
        <is>
          <t>Not Started</t>
        </is>
      </c>
      <c r="V95" s="0"/>
      <c r="W95" s="0"/>
    </row>
    <row r="96">
      <c r="A96" s="0"/>
      <c r="B96" s="0"/>
      <c r="C96" s="0"/>
      <c r="D96" s="0"/>
      <c r="E96" s="3" t="inlineStr">
        <is>
          <t>Medium</t>
        </is>
      </c>
      <c r="F96" s="3" t="inlineStr">
        <is>
          <t>Open</t>
        </is>
      </c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3" t="inlineStr">
        <is>
          <t>Not Started</t>
        </is>
      </c>
      <c r="V96" s="0"/>
      <c r="W96" s="0"/>
    </row>
    <row r="97">
      <c r="A97" s="0"/>
      <c r="B97" s="0"/>
      <c r="C97" s="0"/>
      <c r="D97" s="0"/>
      <c r="E97" s="3" t="inlineStr">
        <is>
          <t>Medium</t>
        </is>
      </c>
      <c r="F97" s="3" t="inlineStr">
        <is>
          <t>Open</t>
        </is>
      </c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3" t="inlineStr">
        <is>
          <t>Not Started</t>
        </is>
      </c>
      <c r="V97" s="0"/>
      <c r="W97" s="0"/>
    </row>
    <row r="98">
      <c r="A98" s="0"/>
      <c r="B98" s="0"/>
      <c r="C98" s="0"/>
      <c r="D98" s="0"/>
      <c r="E98" s="3" t="inlineStr">
        <is>
          <t>Medium</t>
        </is>
      </c>
      <c r="F98" s="3" t="inlineStr">
        <is>
          <t>Open</t>
        </is>
      </c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3" t="inlineStr">
        <is>
          <t>Not Started</t>
        </is>
      </c>
      <c r="V98" s="0"/>
      <c r="W98" s="0"/>
    </row>
    <row r="99">
      <c r="A99" s="0"/>
      <c r="B99" s="0"/>
      <c r="C99" s="0"/>
      <c r="D99" s="0"/>
      <c r="E99" s="3" t="inlineStr">
        <is>
          <t>Medium</t>
        </is>
      </c>
      <c r="F99" s="3" t="inlineStr">
        <is>
          <t>Open</t>
        </is>
      </c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3" t="inlineStr">
        <is>
          <t>Not Started</t>
        </is>
      </c>
      <c r="V99" s="0"/>
      <c r="W99" s="0"/>
    </row>
    <row r="100">
      <c r="A100" s="0"/>
      <c r="B100" s="0"/>
      <c r="C100" s="0"/>
      <c r="D100" s="0"/>
      <c r="E100" s="3" t="inlineStr">
        <is>
          <t>Medium</t>
        </is>
      </c>
      <c r="F100" s="3" t="inlineStr">
        <is>
          <t>Open</t>
        </is>
      </c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3" t="inlineStr">
        <is>
          <t>Not Started</t>
        </is>
      </c>
      <c r="V100" s="0"/>
      <c r="W100" s="0"/>
    </row>
    <row r="101">
      <c r="A101" s="0"/>
      <c r="B101" s="0"/>
      <c r="C101" s="0"/>
      <c r="D101" s="0"/>
      <c r="E101" s="3" t="inlineStr">
        <is>
          <t>Medium</t>
        </is>
      </c>
      <c r="F101" s="3" t="inlineStr">
        <is>
          <t>Open</t>
        </is>
      </c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3" t="inlineStr">
        <is>
          <t>Not Started</t>
        </is>
      </c>
      <c r="V101" s="0"/>
      <c r="W101" s="0"/>
    </row>
  </sheetData>
  <autoFilter ref="A1:W101"/>
  <dataValidations count="3">
    <dataValidation type="list" allowBlank="1" sqref="E2:E101">
      <formula1>Lists!$B$2:$B$5</formula1>
    </dataValidation>
    <dataValidation type="list" allowBlank="1" sqref="F2:F101">
      <formula1>Lists!$C$2:$C$6</formula1>
    </dataValidation>
    <dataValidation type="list" allowBlank="1" sqref="U2:U101">
      <formula1>Lists!$A$2:$A$6</formula1>
    </dataValidation>
  </dataValidations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8"/>
  <cols>
    <col min="1" max="1" width="38" customWidth="1"/>
    <col min="2" max="2" width="18" customWidth="1"/>
    <col min="3" max="3" width="34" customWidth="1"/>
    <col min="4" max="4" width="38" customWidth="1"/>
  </cols>
  <sheetData>
    <row r="1">
      <c r="A1" s="1" t="inlineStr">
        <is>
          <t>OGFI ERP Theft-Control Reconciliation</t>
        </is>
      </c>
      <c r="B1" s="1"/>
      <c r="C1" s="1"/>
      <c r="D1" s="1"/>
    </row>
    <row r="2">
      <c r="A2" s="2" t="inlineStr">
        <is>
          <t>Field</t>
        </is>
      </c>
      <c r="B2" s="2" t="inlineStr">
        <is>
          <t>Quantity</t>
        </is>
      </c>
      <c r="C2" s="2" t="inlineStr">
        <is>
          <t>Evidence / source reference</t>
        </is>
      </c>
      <c r="D2" s="2" t="inlineStr">
        <is>
          <t>Notes</t>
        </is>
      </c>
    </row>
    <row r="3">
      <c r="A3" s="0" t="inlineStr">
        <is>
          <t>Opening quantity</t>
        </is>
      </c>
      <c r="B3" s="0"/>
      <c r="C3" s="0"/>
      <c r="D3" s="0"/>
    </row>
    <row r="4">
      <c r="A4" s="0" t="inlineStr">
        <is>
          <t>Accepted purchase receipts</t>
        </is>
      </c>
      <c r="B4" s="0"/>
      <c r="C4" s="0"/>
      <c r="D4" s="0"/>
    </row>
    <row r="5">
      <c r="A5" s="0" t="inlineStr">
        <is>
          <t>Accepted inbound transfers</t>
        </is>
      </c>
      <c r="B5" s="0"/>
      <c r="C5" s="0"/>
      <c r="D5" s="0"/>
    </row>
    <row r="6">
      <c r="A6" s="0" t="inlineStr">
        <is>
          <t>Outbound transfer dispatches</t>
        </is>
      </c>
      <c r="B6" s="0"/>
      <c r="C6" s="0"/>
      <c r="D6" s="0"/>
    </row>
    <row r="7">
      <c r="A7" s="0" t="inlineStr">
        <is>
          <t>Posted wastage</t>
        </is>
      </c>
      <c r="B7" s="0"/>
      <c r="C7" s="0"/>
      <c r="D7" s="0"/>
    </row>
    <row r="8">
      <c r="A8" s="0" t="inlineStr">
        <is>
          <t>Posted adjustments — increase</t>
        </is>
      </c>
      <c r="B8" s="0"/>
      <c r="C8" s="0"/>
      <c r="D8" s="0"/>
    </row>
    <row r="9">
      <c r="A9" s="0" t="inlineStr">
        <is>
          <t>Posted adjustments — decrease</t>
        </is>
      </c>
      <c r="B9" s="0"/>
      <c r="C9" s="0"/>
      <c r="D9" s="0"/>
    </row>
    <row r="10">
      <c r="A10" s="0" t="inlineStr">
        <is>
          <t>Expected current on-hand</t>
        </is>
      </c>
      <c r="B10" s="0">
        <f>B3+B4+B5-B6-B7+B8-B9</f>
      </c>
      <c r="C10" s="0"/>
      <c r="D10" s="0"/>
    </row>
    <row r="11">
      <c r="A11" s="0" t="inlineStr">
        <is>
          <t>Stock Balance quantity</t>
        </is>
      </c>
      <c r="B11" s="0"/>
      <c r="C11" s="0"/>
      <c r="D11" s="0"/>
    </row>
    <row r="12">
      <c r="A12" s="0" t="inlineStr">
        <is>
          <t>Ledger-derived quantity</t>
        </is>
      </c>
      <c r="B12" s="0"/>
      <c r="C12" s="0"/>
      <c r="D12" s="0"/>
    </row>
    <row r="13">
      <c r="A13" s="0" t="inlineStr">
        <is>
          <t>Latest physical count</t>
        </is>
      </c>
      <c r="B13" s="0"/>
      <c r="C13" s="0"/>
      <c r="D13" s="0" t="inlineStr">
        <is>
          <t>Controlled variance may remain visible</t>
        </is>
      </c>
    </row>
    <row r="14">
      <c r="A14" s="0" t="inlineStr">
        <is>
          <t>Expected vs Stock Balance</t>
        </is>
      </c>
      <c r="B14" s="0">
        <f>B10-B11</f>
      </c>
      <c r="C14" s="0"/>
      <c r="D14" s="0" t="inlineStr">
        <is>
          <t>Must equal 0</t>
        </is>
      </c>
    </row>
    <row r="15">
      <c r="A15" s="0" t="inlineStr">
        <is>
          <t>Stock Balance vs Ledger</t>
        </is>
      </c>
      <c r="B15" s="0">
        <f>B11-B12</f>
      </c>
      <c r="C15" s="0"/>
      <c r="D15" s="0" t="inlineStr">
        <is>
          <t>Must equal 0</t>
        </is>
      </c>
    </row>
    <row r="16">
      <c r="A16" s="0" t="inlineStr">
        <is>
          <t>Reconciliation result</t>
        </is>
      </c>
      <c r="B16" s="0">
        <f>IF(AND(B14=0,B15=0),"Pass","Fail")</f>
      </c>
      <c r="C16" s="0"/>
      <c r="D16" s="0" t="inlineStr">
        <is>
          <t>Unexplained mismatch is blocking</t>
        </is>
      </c>
    </row>
    <row r="17">
      <c r="A17" s="0" t="inlineStr">
        <is>
          <t>High-risk item</t>
        </is>
      </c>
      <c r="B17" s="0"/>
      <c r="C17" s="0"/>
      <c r="D17" s="0"/>
    </row>
    <row r="18">
      <c r="A18" s="0" t="inlineStr">
        <is>
          <t>Inventory location</t>
        </is>
      </c>
      <c r="B18" s="0"/>
      <c r="C18" s="0"/>
      <c r="D18" s="0"/>
    </row>
    <row r="19">
      <c r="A19" s="0" t="inlineStr">
        <is>
          <t>Cutoff timestamp</t>
        </is>
      </c>
      <c r="B19" s="0"/>
      <c r="C19" s="0"/>
      <c r="D19" s="0" t="inlineStr">
        <is>
          <t>Asia/Manila</t>
        </is>
      </c>
    </row>
  </sheetData>
</worksheet>
</file>

<file path=xl/worksheets/sheet5.xml><?xml version="1.0" encoding="utf-8"?>
<worksheet xmlns="http://schemas.openxmlformats.org/spreadsheetml/2006/main">
  <sheetViews>
    <sheetView workbookViewId="0"/>
  </sheetViews>
  <sheetFormatPr defaultRowHeight="18"/>
  <cols>
    <col min="1" max="1" width="26" customWidth="1"/>
    <col min="2" max="2" width="24" customWidth="1"/>
    <col min="3" max="3" width="26" customWidth="1"/>
    <col min="4" max="4" width="44" customWidth="1"/>
  </cols>
  <sheetData>
    <row r="1">
      <c r="A1" s="1" t="inlineStr">
        <is>
          <t>OGFI ERP Phase I UAT Sign-off</t>
        </is>
      </c>
      <c r="B1" s="1"/>
      <c r="C1" s="1"/>
      <c r="D1" s="1"/>
    </row>
    <row r="2">
      <c r="A2" s="2" t="inlineStr">
        <is>
          <t>Role</t>
        </is>
      </c>
      <c r="B2" s="2" t="inlineStr">
        <is>
          <t>Name</t>
        </is>
      </c>
      <c r="C2" s="2" t="inlineStr">
        <is>
          <t>Decision / status</t>
        </is>
      </c>
      <c r="D2" s="2" t="inlineStr">
        <is>
          <t>Date and comments</t>
        </is>
      </c>
    </row>
    <row r="3">
      <c r="A3" s="0" t="inlineStr">
        <is>
          <t>UAT coordinator</t>
        </is>
      </c>
      <c r="B3" s="0"/>
      <c r="C3" s="3" t="inlineStr">
        <is>
          <t>Pending</t>
        </is>
      </c>
      <c r="D3" s="0"/>
    </row>
    <row r="4">
      <c r="A4" s="0" t="inlineStr">
        <is>
          <t>Business owner</t>
        </is>
      </c>
      <c r="B4" s="0"/>
      <c r="C4" s="3" t="inlineStr">
        <is>
          <t>Pending</t>
        </is>
      </c>
      <c r="D4" s="0"/>
    </row>
    <row r="5">
      <c r="A5" s="0" t="inlineStr">
        <is>
          <t>Inventory control owner</t>
        </is>
      </c>
      <c r="B5" s="0"/>
      <c r="C5" s="3" t="inlineStr">
        <is>
          <t>Pending</t>
        </is>
      </c>
      <c r="D5" s="0"/>
    </row>
    <row r="6">
      <c r="A6" s="0" t="inlineStr">
        <is>
          <t>Procurement owner</t>
        </is>
      </c>
      <c r="B6" s="0"/>
      <c r="C6" s="3" t="inlineStr">
        <is>
          <t>Pending</t>
        </is>
      </c>
      <c r="D6" s="0"/>
    </row>
    <row r="7">
      <c r="A7" s="0" t="inlineStr">
        <is>
          <t>Technical owner</t>
        </is>
      </c>
      <c r="B7" s="0"/>
      <c r="C7" s="3" t="inlineStr">
        <is>
          <t>Pending</t>
        </is>
      </c>
      <c r="D7" s="0"/>
    </row>
    <row r="8">
      <c r="A8" s="0" t="inlineStr">
        <is>
          <t>Release owner</t>
        </is>
      </c>
      <c r="B8" s="0"/>
      <c r="C8" s="3" t="inlineStr">
        <is>
          <t>Pending</t>
        </is>
      </c>
      <c r="D8" s="0"/>
    </row>
    <row r="9">
      <c r="A9" s="0" t="inlineStr">
        <is>
          <t>Overall UAT decision</t>
        </is>
      </c>
      <c r="B9" s="0"/>
      <c r="C9" s="3" t="inlineStr">
        <is>
          <t>Pending</t>
        </is>
      </c>
      <c r="D9" s="0"/>
    </row>
    <row r="10">
      <c r="A10" s="0" t="inlineStr">
        <is>
          <t>Open blocking defects</t>
        </is>
      </c>
      <c r="B10" s="0">
        <f>COUNTIFS(Defects!E:E,"Blocking",Defects!F:F,"&lt;&gt;Closed")</f>
      </c>
      <c r="C10" s="3"/>
      <c r="D10" s="0" t="inlineStr">
        <is>
          <t>Must equal 0</t>
        </is>
      </c>
    </row>
    <row r="11">
      <c r="A11" s="0" t="inlineStr">
        <is>
          <t>Open high defects</t>
        </is>
      </c>
      <c r="B11" s="0">
        <f>COUNTIFS(Defects!E:E,"High",Defects!F:F,"&lt;&gt;Closed")</f>
      </c>
      <c r="C11" s="3"/>
      <c r="D11" s="0" t="inlineStr">
        <is>
          <t>Disposition required</t>
        </is>
      </c>
    </row>
    <row r="12">
      <c r="A12" s="0" t="inlineStr">
        <is>
          <t>Conditions / accepted limitations</t>
        </is>
      </c>
      <c r="B12" s="0"/>
      <c r="C12" s="3"/>
      <c r="D12" s="0"/>
    </row>
  </sheetData>
  <dataValidations count="1">
    <dataValidation type="list" allowBlank="1" sqref="C3:C9">
      <formula1>Lists!$D$2:$D$5</formula1>
    </dataValidation>
  </dataValidations>
</worksheet>
</file>

<file path=xl/worksheets/sheet6.xml><?xml version="1.0" encoding="utf-8"?>
<worksheet xmlns="http://schemas.openxmlformats.org/spreadsheetml/2006/main">
  <sheetViews>
    <sheetView workbookViewId="0"/>
  </sheetViews>
  <sheetFormatPr defaultRowHeight="18"/>
  <cols>
    <col min="1" max="1" width="18" customWidth="1"/>
    <col min="2" max="2" width="18" customWidth="1"/>
    <col min="3" max="3" width="22" customWidth="1"/>
    <col min="4" max="4" width="28" customWidth="1"/>
  </cols>
  <sheetData>
    <row r="1">
      <c r="A1" s="2" t="inlineStr">
        <is>
          <t>Results</t>
        </is>
      </c>
      <c r="B1" s="2" t="inlineStr">
        <is>
          <t>Severity</t>
        </is>
      </c>
      <c r="C1" s="2" t="inlineStr">
        <is>
          <t>Defect Status</t>
        </is>
      </c>
      <c r="D1" s="2" t="inlineStr">
        <is>
          <t>Sign-off Status</t>
        </is>
      </c>
    </row>
    <row r="2">
      <c r="A2" s="0" t="inlineStr">
        <is>
          <t>Not Started</t>
        </is>
      </c>
      <c r="B2" s="0" t="inlineStr">
        <is>
          <t>Blocking</t>
        </is>
      </c>
      <c r="C2" s="0" t="inlineStr">
        <is>
          <t>Open</t>
        </is>
      </c>
      <c r="D2" s="0" t="inlineStr">
        <is>
          <t>Pending</t>
        </is>
      </c>
    </row>
    <row r="3">
      <c r="A3" s="0" t="inlineStr">
        <is>
          <t>Pass</t>
        </is>
      </c>
      <c r="B3" s="0" t="inlineStr">
        <is>
          <t>High</t>
        </is>
      </c>
      <c r="C3" s="0" t="inlineStr">
        <is>
          <t>Investigating</t>
        </is>
      </c>
      <c r="D3" s="0" t="inlineStr">
        <is>
          <t>Approved</t>
        </is>
      </c>
    </row>
    <row r="4">
      <c r="A4" s="0" t="inlineStr">
        <is>
          <t>Fail</t>
        </is>
      </c>
      <c r="B4" s="0" t="inlineStr">
        <is>
          <t>Medium</t>
        </is>
      </c>
      <c r="C4" s="0" t="inlineStr">
        <is>
          <t>Fix In Progress</t>
        </is>
      </c>
      <c r="D4" s="0" t="inlineStr">
        <is>
          <t>Approved with conditions</t>
        </is>
      </c>
    </row>
    <row r="5">
      <c r="A5" s="0" t="inlineStr">
        <is>
          <t>Blocked</t>
        </is>
      </c>
      <c r="B5" s="0" t="inlineStr">
        <is>
          <t>Low</t>
        </is>
      </c>
      <c r="C5" s="0" t="inlineStr">
        <is>
          <t>Ready for Retest</t>
        </is>
      </c>
      <c r="D5" s="0" t="inlineStr">
        <is>
          <t>Rejected</t>
        </is>
      </c>
    </row>
    <row r="6">
      <c r="A6" s="0" t="inlineStr">
        <is>
          <t>Not Run</t>
        </is>
      </c>
      <c r="B6" s="0"/>
      <c r="C6" s="0" t="inlineStr">
        <is>
          <t>Closed</t>
        </is>
      </c>
      <c r="D6" s="0"/>
    </row>
  </sheetData>
</worksheet>
</file>